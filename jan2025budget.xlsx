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D4F6A458-E2F0-4B54-AAB4-0D2258BDE65A}" xr6:coauthVersionLast="47" xr6:coauthVersionMax="47" xr10:uidLastSave="{00000000-0000-0000-0000-000000000000}"/>
  <bookViews>
    <workbookView xWindow="-108" yWindow="-108" windowWidth="23256" windowHeight="12456" xr2:uid="{01E97E73-04E0-465F-9EF7-50BFB6EB412D}"/>
  </bookViews>
  <sheets>
    <sheet name="jan" sheetId="1" r:id="rId1"/>
    <sheet name="feb" sheetId="3" r:id="rId2"/>
    <sheet name="mar" sheetId="4" r:id="rId3"/>
    <sheet name="apr" sheetId="5" r:id="rId4"/>
    <sheet name="may" sheetId="6" r:id="rId5"/>
    <sheet name="jun" sheetId="7" r:id="rId6"/>
    <sheet name="jul" sheetId="8" r:id="rId7"/>
    <sheet name="aug" sheetId="9" r:id="rId8"/>
    <sheet name="sep" sheetId="10" r:id="rId9"/>
    <sheet name="oct" sheetId="12" r:id="rId10"/>
    <sheet name="nov" sheetId="13" r:id="rId11"/>
    <sheet name="dec" sheetId="14" r:id="rId12"/>
    <sheet name="data" sheetId="2" state="hidden" r:id="rId13"/>
  </sheets>
  <definedNames>
    <definedName name="TotalMonthlyExpenses">jan!$C$6</definedName>
    <definedName name="TotalMonthlyIncome">jan!$C$4</definedName>
    <definedName name="TotalMonthlySavings">jan!$C$8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4" l="1"/>
  <c r="C6" i="14"/>
  <c r="C6" i="13"/>
  <c r="C10" i="13" s="1"/>
  <c r="C6" i="12"/>
  <c r="C6" i="10"/>
  <c r="C6" i="9"/>
  <c r="C10" i="9" s="1"/>
  <c r="C10" i="8"/>
  <c r="C6" i="8"/>
  <c r="C4" i="8"/>
  <c r="C10" i="7"/>
  <c r="C6" i="7"/>
  <c r="C4" i="5"/>
  <c r="C10" i="5" s="1"/>
  <c r="C10" i="6"/>
  <c r="C4" i="6"/>
  <c r="C6" i="6"/>
  <c r="C6" i="5"/>
  <c r="C10" i="3"/>
  <c r="C10" i="1"/>
  <c r="C6" i="4"/>
  <c r="C6" i="1"/>
  <c r="C8" i="14"/>
  <c r="C4" i="14"/>
  <c r="C8" i="13"/>
  <c r="C4" i="13"/>
  <c r="C8" i="12"/>
  <c r="C4" i="12"/>
  <c r="C8" i="10"/>
  <c r="C4" i="10"/>
  <c r="C10" i="10" s="1"/>
  <c r="C8" i="9"/>
  <c r="C4" i="9"/>
  <c r="C8" i="8"/>
  <c r="C8" i="7"/>
  <c r="C4" i="7"/>
  <c r="C8" i="6"/>
  <c r="C8" i="5"/>
  <c r="C8" i="4"/>
  <c r="C4" i="4"/>
  <c r="C10" i="4" s="1"/>
  <c r="C4" i="3"/>
  <c r="C8" i="3"/>
  <c r="C6" i="3" s="1"/>
  <c r="C4" i="1"/>
  <c r="C8" i="1"/>
  <c r="C10" i="12" l="1"/>
  <c r="H4" i="2"/>
  <c r="D4" i="2"/>
  <c r="F4" i="2"/>
  <c r="B3" i="2"/>
  <c r="B2" i="2" s="1"/>
  <c r="B4" i="2"/>
  <c r="X4" i="2"/>
  <c r="X3" i="2"/>
  <c r="X2" i="2" s="1"/>
  <c r="V4" i="2"/>
  <c r="V3" i="2"/>
  <c r="V2" i="2" s="1"/>
  <c r="T4" i="2"/>
  <c r="T3" i="2"/>
  <c r="T2" i="2" s="1"/>
  <c r="R4" i="2"/>
  <c r="R3" i="2"/>
  <c r="R2" i="2" s="1"/>
  <c r="P4" i="2"/>
  <c r="P3" i="2"/>
  <c r="P2" i="2" s="1"/>
  <c r="N3" i="2"/>
  <c r="N2" i="2" s="1"/>
  <c r="N4" i="2"/>
  <c r="L4" i="2"/>
  <c r="L3" i="2"/>
  <c r="L2" i="2" s="1"/>
  <c r="J4" i="2"/>
  <c r="J3" i="2"/>
  <c r="J2" i="2" s="1"/>
  <c r="H3" i="2"/>
  <c r="H2" i="2" s="1"/>
  <c r="F3" i="2"/>
  <c r="F2" i="2" s="1"/>
  <c r="D3" i="2"/>
  <c r="D2" i="2" s="1"/>
</calcChain>
</file>

<file path=xl/sharedStrings.xml><?xml version="1.0" encoding="utf-8"?>
<sst xmlns="http://schemas.openxmlformats.org/spreadsheetml/2006/main" count="684" uniqueCount="52">
  <si>
    <t>Personal budget</t>
  </si>
  <si>
    <t>Percentage of income spent</t>
  </si>
  <si>
    <t>Summary</t>
  </si>
  <si>
    <t>TOTAL MONTHLY INCOME</t>
  </si>
  <si>
    <t>TOTAL MONTHLY EXPENSES</t>
  </si>
  <si>
    <t>TOTAL MONTHLY SAVINGS</t>
  </si>
  <si>
    <t>CASH BALANCE</t>
  </si>
  <si>
    <t>Monthly income</t>
  </si>
  <si>
    <t>Monthly expenses</t>
  </si>
  <si>
    <t>Monthly savings</t>
  </si>
  <si>
    <t>ITEM</t>
  </si>
  <si>
    <t>AMOUNT</t>
  </si>
  <si>
    <t>DUE DATE</t>
  </si>
  <si>
    <t>DATE</t>
  </si>
  <si>
    <t>Income source 1</t>
  </si>
  <si>
    <t>Rent/mortgage</t>
  </si>
  <si>
    <t>Date</t>
  </si>
  <si>
    <t>Income source 2</t>
  </si>
  <si>
    <t>Electric</t>
  </si>
  <si>
    <t>[Date]</t>
  </si>
  <si>
    <t>Other</t>
  </si>
  <si>
    <t>Gas</t>
  </si>
  <si>
    <t>Cell phone</t>
  </si>
  <si>
    <t>Groceries</t>
  </si>
  <si>
    <t>Auto expenses</t>
  </si>
  <si>
    <t>Investments</t>
  </si>
  <si>
    <t>Credit cards</t>
  </si>
  <si>
    <t>Personal care</t>
  </si>
  <si>
    <t>Food</t>
  </si>
  <si>
    <t>Miscellaneous</t>
  </si>
  <si>
    <t>Monthly  GYM expenses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</si>
  <si>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</si>
  <si>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</si>
  <si>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</si>
  <si>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</si>
  <si>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</si>
  <si>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</si>
  <si>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</si>
  <si>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</si>
  <si>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</si>
  <si>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</si>
  <si>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</si>
  <si>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</si>
  <si>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Oats</t>
  </si>
  <si>
    <t>Peanut butter</t>
  </si>
  <si>
    <t>Honey</t>
  </si>
  <si>
    <t>Nuts</t>
  </si>
  <si>
    <t>Dates</t>
  </si>
  <si>
    <t>Chiceken / Panner</t>
  </si>
  <si>
    <t>Whey protien</t>
  </si>
  <si>
    <t>Creatin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</si>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</sst>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₹&quot;\ #,##0.00"/>
    <numFmt numFmtId="165" formatCode="&quot;$&quot;#,##0"/>
    <numFmt numFmtId="166" formatCode="&quot;$&quot;#,##0.00"/>
  </numFmts>
  <fonts count="1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24"/>
      <color theme="3" tint="0.24994659260841701"/>
      <name val="Calibri"/>
      <family val="2"/>
      <scheme val="minor"/>
    </font>
    <font>
      <sz val="11"/>
      <color theme="3" tint="0.24994659260841701"/>
      <name val="Calibri"/>
      <family val="2"/>
      <scheme val="minor"/>
    </font>
    <font>
      <b/>
      <sz val="18"/>
      <color theme="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rgb="FF00B050"/>
      <name val="Calibri"/>
      <family val="2"/>
      <scheme val="minor"/>
    </font>
    <font>
      <sz val="24"/>
      <color rgb="FFFF0000"/>
      <name val="Calibri"/>
      <family val="2"/>
      <scheme val="minor"/>
    </font>
    <font>
      <sz val="24"/>
      <color theme="1" tint="0.249977111117893"/>
      <name val="Calibri"/>
      <family val="2"/>
      <scheme val="minor"/>
    </font>
    <font>
      <sz val="24"/>
      <color rgb="FF00206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/>
      </top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165" fontId="6" fillId="0" borderId="0">
      <alignment horizontal="left" vertical="top"/>
    </xf>
    <xf numFmtId="0" fontId="7" fillId="0" borderId="0">
      <alignment horizontal="left" vertical="center" wrapText="1"/>
    </xf>
    <xf numFmtId="166" fontId="7" fillId="0" borderId="0">
      <alignment horizontal="left" vertical="center"/>
    </xf>
    <xf numFmtId="14" fontId="7" fillId="0" borderId="0">
      <alignment horizontal="left" vertical="center"/>
    </xf>
    <xf numFmtId="9" fontId="9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64" fontId="2" fillId="0" borderId="1" xfId="2" applyNumberFormat="1" applyAlignment="1" applyProtection="1">
      <alignment horizontal="left"/>
      <protection locked="0"/>
    </xf>
    <xf numFmtId="164" fontId="2" fillId="0" borderId="1" xfId="2" applyNumberFormat="1" applyAlignment="1">
      <alignment horizontal="left"/>
    </xf>
    <xf numFmtId="164" fontId="0" fillId="0" borderId="0" xfId="0" applyNumberFormat="1" applyAlignment="1">
      <alignment horizontal="left" vertical="center"/>
    </xf>
    <xf numFmtId="164" fontId="3" fillId="0" borderId="2" xfId="3" applyNumberFormat="1"/>
    <xf numFmtId="164" fontId="6" fillId="0" borderId="0" xfId="4" applyNumberFormat="1">
      <alignment horizontal="left" vertical="top"/>
    </xf>
    <xf numFmtId="164" fontId="3" fillId="0" borderId="2" xfId="3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5" applyNumberFormat="1" applyFont="1">
      <alignment horizontal="left" vertical="center" wrapText="1"/>
    </xf>
    <xf numFmtId="164" fontId="7" fillId="0" borderId="0" xfId="6" applyNumberFormat="1">
      <alignment horizontal="left" vertical="center"/>
    </xf>
    <xf numFmtId="14" fontId="0" fillId="0" borderId="0" xfId="0" applyNumberFormat="1" applyAlignment="1">
      <alignment horizontal="left" vertical="center"/>
    </xf>
    <xf numFmtId="164" fontId="7" fillId="0" borderId="0" xfId="7" applyNumberFormat="1">
      <alignment horizontal="left" vertical="center"/>
    </xf>
    <xf numFmtId="164" fontId="7" fillId="0" borderId="0" xfId="5" applyNumberForma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1" fillId="2" borderId="0" xfId="1" applyNumberFormat="1" applyFill="1" applyAlignment="1">
      <alignment horizontal="left" vertical="center"/>
    </xf>
    <xf numFmtId="164" fontId="8" fillId="2" borderId="0" xfId="1" applyNumberFormat="1" applyFont="1" applyFill="1" applyAlignment="1">
      <alignment horizontal="left" vertical="center"/>
    </xf>
    <xf numFmtId="164" fontId="3" fillId="0" borderId="2" xfId="3" applyNumberFormat="1" applyFill="1"/>
    <xf numFmtId="164" fontId="3" fillId="0" borderId="0" xfId="3" applyNumberFormat="1" applyFill="1" applyBorder="1"/>
    <xf numFmtId="9" fontId="0" fillId="0" borderId="0" xfId="8" applyFont="1"/>
    <xf numFmtId="0" fontId="10" fillId="0" borderId="0" xfId="0" applyFont="1"/>
    <xf numFmtId="9" fontId="0" fillId="0" borderId="0" xfId="8" applyFont="1" applyAlignment="1">
      <alignment horizontal="left" vertical="center"/>
    </xf>
    <xf numFmtId="9" fontId="0" fillId="0" borderId="0" xfId="0" applyNumberFormat="1"/>
    <xf numFmtId="164" fontId="11" fillId="0" borderId="0" xfId="4" applyNumberFormat="1" applyFont="1">
      <alignment horizontal="left" vertical="top"/>
    </xf>
    <xf numFmtId="164" fontId="12" fillId="0" borderId="0" xfId="4" applyNumberFormat="1" applyFont="1">
      <alignment horizontal="left" vertical="top"/>
    </xf>
    <xf numFmtId="164" fontId="13" fillId="0" borderId="0" xfId="4" applyNumberFormat="1" applyFont="1">
      <alignment horizontal="left" vertical="top"/>
    </xf>
    <xf numFmtId="164" fontId="14" fillId="0" borderId="0" xfId="4" applyNumberFormat="1" applyFont="1">
      <alignment horizontal="left" vertical="top"/>
    </xf>
    <xf numFmtId="164" fontId="15" fillId="0" borderId="0" xfId="4" applyNumberFormat="1" applyFont="1">
      <alignment horizontal="left" vertical="top"/>
    </xf>
    <xf numFmtId="164" fontId="16" fillId="0" borderId="0" xfId="4" applyNumberFormat="1" applyFont="1">
      <alignment horizontal="left" vertical="top"/>
    </xf>
    <xf numFmtId="164" fontId="5" fillId="0" borderId="0" xfId="0" applyNumberFormat="1" applyFont="1" applyAlignment="1" applyProtection="1">
      <alignment horizontal="center" vertical="center"/>
      <protection locked="0"/>
    </xf>
    <xf numFmtId="164" fontId="4" fillId="0" borderId="0" xfId="0" applyNumberFormat="1" applyFont="1" applyAlignment="1">
      <alignment horizontal="center" vertical="center"/>
    </xf>
    <xf numFmtId="164" fontId="5" fillId="0" borderId="3" xfId="0" applyNumberFormat="1" applyFont="1" applyBorder="1" applyAlignment="1" applyProtection="1">
      <alignment horizontal="center" vertical="center"/>
      <protection locked="0"/>
    </xf>
  </cellXfs>
  <cellStyles count="9">
    <cellStyle name="Amount" xfId="6" xr:uid="{F82A876B-6FCA-4C81-B4FF-39618C345B8E}"/>
    <cellStyle name="Date" xfId="7" xr:uid="{B0B7B4DA-AB38-4338-8B89-30C4DC396CA7}"/>
    <cellStyle name="Heading 1" xfId="2" builtinId="16"/>
    <cellStyle name="Heading 2" xfId="3" builtinId="17"/>
    <cellStyle name="Item" xfId="5" xr:uid="{09EF89A5-1486-47E9-A49D-053B9D1E38D1}"/>
    <cellStyle name="Normal" xfId="0" builtinId="0"/>
    <cellStyle name="Percent" xfId="8" builtinId="5"/>
    <cellStyle name="Title" xfId="1" builtinId="15"/>
    <cellStyle name="Totals" xfId="4" xr:uid="{2A7EF312-C0CF-4DD2-B38C-F6D16C94FD05}"/>
  </cellStyles>
  <dxfs count="195"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>
        <top style="double">
          <color theme="3" tint="9.9948118533890809E-2"/>
        </top>
      </border>
    </dxf>
    <dxf>
      <font>
        <b val="0"/>
        <i val="0"/>
        <color theme="4" tint="-0.2499465926084170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Personal budget table" pivot="0" count="3" xr9:uid="{2E252E60-51D9-42C4-82F9-B93B979E96F4}">
      <tableStyleElement type="wholeTable" dxfId="194"/>
      <tableStyleElement type="headerRow" dxfId="193"/>
      <tableStyleElement type="totalRow" dxfId="192"/>
    </tableStyle>
  </tableStyles>
  <colors>
    <mruColors>
      <color rgb="FFFF3300"/>
      <color rgb="FFE7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jan!$C$4</c:f>
              <c:numCache>
                <c:formatCode>"₹"\ #,##0.00</c:formatCode>
                <c:ptCount val="1"/>
                <c:pt idx="0">
                  <c:v>2000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14FA-47BE-A933-6AE3F2886EA2}"/>
            </c:ext>
          </c:extLst>
        </c:ser>
        <c:ser>
          <c:idx val="1"/>
          <c:order val="1"/>
          <c:tx>
            <c:v>Expenses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FA-47BE-A933-6AE3F2886E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jan!$C$6</c:f>
              <c:numCache>
                <c:formatCode>"₹"\ #,##0.00</c:formatCode>
                <c:ptCount val="1"/>
                <c:pt idx="0">
                  <c:v>400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14FA-47BE-A933-6AE3F2886EA2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jan!$C$8</c:f>
              <c:numCache>
                <c:formatCode>"₹"\ #,##0.00</c:formatCode>
                <c:ptCount val="1"/>
                <c:pt idx="0">
                  <c:v>200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14FA-47BE-A933-6AE3F2886E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 cap="rnd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BB-4DB0-9E07-F050A7E694D7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BB-4DB0-9E07-F050A7E694D7}"/>
              </c:ext>
            </c:extLst>
          </c:dPt>
          <c:val>
            <c:numRef>
              <c:f>data!$B$2:$B$3</c:f>
              <c:numCache>
                <c:formatCode>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BB-4DB0-9E07-F050A7E69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 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feb!$C$4</c:f>
              <c:numCache>
                <c:formatCode>"₹"\ #,##0.00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2-45F3-82C4-D239D8C8D8BB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0D2-45F3-82C4-D239D8C8D8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feb!$C$6</c:f>
              <c:numCache>
                <c:formatCode>"₹"\ #,##0.00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D2-45F3-82C4-D239D8C8D8BB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feb!$C$8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D2-45F3-82C4-D239D8C8D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C-48AD-B4B7-F28F39FC57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3C-48AD-B4B7-F28F39FC5769}"/>
              </c:ext>
            </c:extLst>
          </c:dPt>
          <c:val>
            <c:numRef>
              <c:f>data!$D$2:$D$3</c:f>
              <c:numCache>
                <c:formatCode>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3C-48AD-B4B7-F28F39FC5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mar!$C$4</c:f>
              <c:numCache>
                <c:formatCode>"₹"\ #,##0.00</c:formatCode>
                <c:ptCount val="1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3-4E7D-A722-45C2ED9E7130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33-4E7D-A722-45C2ED9E71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mar!$C$6</c:f>
              <c:numCache>
                <c:formatCode>"₹"\ #,##0.00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3-4E7D-A722-45C2ED9E7130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mar!$C$8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33-4E7D-A722-45C2ED9E71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90-46F9-8A31-60F6EDA10E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90-46F9-8A31-60F6EDA10E47}"/>
              </c:ext>
            </c:extLst>
          </c:dPt>
          <c:val>
            <c:numRef>
              <c:f>data!$F$2:$F$3</c:f>
              <c:numCache>
                <c:formatCode>0%</c:formatCode>
                <c:ptCount val="2"/>
                <c:pt idx="0">
                  <c:v>0.77272727272727271</c:v>
                </c:pt>
                <c:pt idx="1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90-46F9-8A31-60F6EDA10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apr!$C$4</c:f>
              <c:numCache>
                <c:formatCode>"₹"\ #,##0.00</c:formatCode>
                <c:ptCount val="1"/>
                <c:pt idx="0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4-4D6B-9847-A49CB8CA4C44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9F4-4D6B-9847-A49CB8CA4C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apr!$C$6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F4-4D6B-9847-A49CB8CA4C44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apr!$C$8</c:f>
              <c:numCache>
                <c:formatCode>"₹"\ #,##0.00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F4-4D6B-9847-A49CB8CA4C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0-444B-9886-D4974A9977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F0-444B-9886-D4974A9977D5}"/>
              </c:ext>
            </c:extLst>
          </c:dPt>
          <c:val>
            <c:numRef>
              <c:f>data!$H$2:$H$3</c:f>
              <c:numCache>
                <c:formatCode>0%</c:formatCode>
                <c:ptCount val="2"/>
                <c:pt idx="0">
                  <c:v>0.90476190476190477</c:v>
                </c:pt>
                <c:pt idx="1">
                  <c:v>9.5238095238095233E-2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0-444B-9886-D4974A997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may!$C$4</c:f>
              <c:numCache>
                <c:formatCode>"₹"\ #,##0.00</c:formatCode>
                <c:ptCount val="1"/>
                <c:pt idx="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A-4471-BCA6-2921907914BD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4AA-4471-BCA6-2921907914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may!$C$6</c:f>
              <c:numCache>
                <c:formatCode>"₹"\ #,##0.00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AA-4471-BCA6-2921907914BD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may!$C$8</c:f>
              <c:numCache>
                <c:formatCode>"₹"\ #,##0.00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AA-4471-BCA6-2921907914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7-4562-9145-09F5F40244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7-4562-9145-09F5F40244CB}"/>
              </c:ext>
            </c:extLst>
          </c:dPt>
          <c:val>
            <c:numRef>
              <c:f>data!$J$2:$J$3</c:f>
              <c:numCache>
                <c:formatCode>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67-4562-9145-09F5F4024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 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jun!$C$4</c:f>
              <c:numCache>
                <c:formatCode>"₹"\ #,##0.00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5-46BC-ADAE-BB59A5FE780F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85-46BC-ADAE-BB59A5FE78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jun!$C$6</c:f>
              <c:numCache>
                <c:formatCode>"₹"\ #,##0.00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85-46BC-ADAE-BB59A5FE780F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jun!$C$8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85-46BC-ADAE-BB59A5FE78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49-4E62-8E76-D29936C880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49-4E62-8E76-D29936C88004}"/>
              </c:ext>
            </c:extLst>
          </c:dPt>
          <c:val>
            <c:numRef>
              <c:f>data!$L$2:$L$3</c:f>
              <c:numCache>
                <c:formatCode>0%</c:formatCode>
                <c:ptCount val="2"/>
                <c:pt idx="0">
                  <c:v>0.73333333333333339</c:v>
                </c:pt>
                <c:pt idx="1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49-4E62-8E76-D29936C88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jul!$C$4</c:f>
              <c:numCache>
                <c:formatCode>"₹"\ #,##0.00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5-4816-A1B8-F5B30204AA90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B5-4816-A1B8-F5B30204AA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jul!$C$6</c:f>
              <c:numCache>
                <c:formatCode>"₹"\ #,##0.00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B5-4816-A1B8-F5B30204AA90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jul!$C$8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B5-4816-A1B8-F5B30204AA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66-4877-BD7A-DE79135DD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66-4877-BD7A-DE79135DD72E}"/>
              </c:ext>
            </c:extLst>
          </c:dPt>
          <c:val>
            <c:numRef>
              <c:f>data!$N$2:$N$3</c:f>
              <c:numCache>
                <c:formatCode>0%</c:formatCode>
                <c:ptCount val="2"/>
                <c:pt idx="0">
                  <c:v>0.90625</c:v>
                </c:pt>
                <c:pt idx="1">
                  <c:v>9.375E-2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66-4877-BD7A-DE79135DD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aug!$C$4</c:f>
              <c:numCache>
                <c:formatCode>"₹"\ #,##0.00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E-400E-BB4C-B72ECE092543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EE-400E-BB4C-B72ECE0925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aug!$C$6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EE-400E-BB4C-B72ECE092543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aug!$C$8</c:f>
              <c:numCache>
                <c:formatCode>"₹"\ #,##0.00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EE-400E-BB4C-B72ECE0925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96-4E46-88B1-12468C452B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96-4E46-88B1-12468C452B53}"/>
              </c:ext>
            </c:extLst>
          </c:dPt>
          <c:val>
            <c:numRef>
              <c:f>data!$P$2:$P$3</c:f>
              <c:numCache>
                <c:formatCode>0%</c:formatCode>
                <c:ptCount val="2"/>
                <c:pt idx="0">
                  <c:v>0.93333333333333335</c:v>
                </c:pt>
                <c:pt idx="1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96-4E46-88B1-12468C4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sep!$C$4</c:f>
              <c:numCache>
                <c:formatCode>"₹"\ #,##0.00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8-4CAD-A63C-2B7A727C6C3E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908-4CAD-A63C-2B7A727C6C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sep!$C$6</c:f>
              <c:numCache>
                <c:formatCode>"₹"\ #,##0.00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08-4CAD-A63C-2B7A727C6C3E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sep!$C$8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08-4CAD-A63C-2B7A727C6C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9E-49F6-BC6B-38457084B0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9E-49F6-BC6B-38457084B039}"/>
              </c:ext>
            </c:extLst>
          </c:dPt>
          <c:val>
            <c:numRef>
              <c:f>data!$R$2:$R$3</c:f>
              <c:numCache>
                <c:formatCode>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9E-49F6-BC6B-38457084B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oct!$C$4</c:f>
              <c:numCache>
                <c:formatCode>"₹"\ #,##0.00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4-4077-9E87-C7CEA37028C0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44-4077-9E87-C7CEA3702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oct!$C$6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44-4077-9E87-C7CEA37028C0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oct!$C$8</c:f>
              <c:numCache>
                <c:formatCode>"₹"\ #,##0.00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44-4077-9E87-C7CEA37028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C1-4725-AE07-7E1C842DA6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C1-4725-AE07-7E1C842DA6EE}"/>
              </c:ext>
            </c:extLst>
          </c:dPt>
          <c:val>
            <c:numRef>
              <c:f>data!$T$2:$T$3</c:f>
              <c:numCache>
                <c:formatCode>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C1-4725-AE07-7E1C842DA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nov!$C$4</c:f>
              <c:numCache>
                <c:formatCode>"₹"\ #,##0.00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6-40D6-BF8D-4B2382C91881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F6-40D6-BF8D-4B2382C918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nov!$C$6</c:f>
              <c:numCache>
                <c:formatCode>"₹"\ #,##0.00</c:formatCode>
                <c:ptCount val="1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F6-40D6-BF8D-4B2382C91881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nov!$C$8</c:f>
              <c:numCache>
                <c:formatCode>"₹"\ #,##0.00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F6-40D6-BF8D-4B2382C918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AA-40BC-BFD9-5C296770BC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AA-40BC-BFD9-5C296770BC6C}"/>
              </c:ext>
            </c:extLst>
          </c:dPt>
          <c:val>
            <c:numRef>
              <c:f>data!$V$2:$V$3</c:f>
              <c:numCache>
                <c:formatCode>0%</c:formatCode>
                <c:ptCount val="2"/>
                <c:pt idx="0">
                  <c:v>0.76666666666666661</c:v>
                </c:pt>
                <c:pt idx="1">
                  <c:v>0.23333333333333334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AA-40BC-BFD9-5C296770B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dec!$C$4</c:f>
              <c:numCache>
                <c:formatCode>"₹"\ #,##0.00</c:formatCode>
                <c:ptCount val="1"/>
                <c:pt idx="0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3-4E53-AC84-6AAE8B2012A7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BA3-4E53-AC84-6AAE8B2012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dec!$C$6</c:f>
              <c:numCache>
                <c:formatCode>"₹"\ #,##0.00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A3-4E53-AC84-6AAE8B2012A7}"/>
            </c:ext>
          </c:extLst>
        </c:ser>
        <c:ser>
          <c:idx val="2"/>
          <c:order val="2"/>
          <c:tx>
            <c:v>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dec!$C$8</c:f>
              <c:numCache>
                <c:formatCode>"₹"\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A3-4E53-AC84-6AAE8B2012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678704954165595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MONEY</a:t>
            </a:r>
            <a:r>
              <a:rPr lang="en-IN" b="1" baseline="0"/>
              <a:t>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39868093411399"/>
          <c:y val="0.12945717679144855"/>
          <c:w val="0.79120297462817146"/>
          <c:h val="0.86192502822622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8-4149-833D-3E4B1D0014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8-4149-833D-3E4B1D0014A1}"/>
              </c:ext>
            </c:extLst>
          </c:dPt>
          <c:val>
            <c:numRef>
              <c:f>data!$D$2:$D$3</c:f>
              <c:numCache>
                <c:formatCode>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C8-4149-833D-3E4B1D00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1</xdr:col>
      <xdr:colOff>2788920</xdr:colOff>
      <xdr:row>10</xdr:row>
      <xdr:rowOff>114300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AE8247F4-363C-49D8-A001-EAAE352C8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312420</xdr:colOff>
      <xdr:row>1</xdr:row>
      <xdr:rowOff>38099</xdr:rowOff>
    </xdr:from>
    <xdr:to>
      <xdr:col>9</xdr:col>
      <xdr:colOff>260985</xdr:colOff>
      <xdr:row>10</xdr:row>
      <xdr:rowOff>60960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FF441005-55C5-4AB9-89A7-80EDE5519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D686FD-CDD6-4AC2-AAF3-760FC9AC2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B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41D99D45-9613-4629-9C60-AC7EFA08B3D6}" type="TxLink">
            <a:rPr lang="en-US" sz="36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80%</a:t>
          </a:fld>
          <a:endParaRPr lang="en-US" sz="16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0</xdr:colOff>
      <xdr:row>16</xdr:row>
      <xdr:rowOff>91440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48D621A1-B130-4EEE-86F2-F2E3831F3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312421</xdr:colOff>
      <xdr:row>1</xdr:row>
      <xdr:rowOff>38099</xdr:rowOff>
    </xdr:from>
    <xdr:to>
      <xdr:col>9</xdr:col>
      <xdr:colOff>563881</xdr:colOff>
      <xdr:row>10</xdr:row>
      <xdr:rowOff>22860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D9BF563A-BF1F-4BA7-A598-F24990BFA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A2A670-AD57-4339-B6F4-ABE3C39C3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D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8EF06A97-2657-4B03-B0C7-031AA479DFDE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80%</a:t>
          </a:fld>
          <a:endParaRPr lang="en-US" sz="307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381000</xdr:colOff>
      <xdr:row>23</xdr:row>
      <xdr:rowOff>22860</xdr:rowOff>
    </xdr:to>
    <xdr:graphicFrame macro="">
      <xdr:nvGraphicFramePr>
        <xdr:cNvPr id="14" name="chtIncomePct" descr="Donut chart showing percentage of income spent">
          <a:extLst>
            <a:ext uri="{FF2B5EF4-FFF2-40B4-BE49-F238E27FC236}">
              <a16:creationId xmlns:a16="http://schemas.microsoft.com/office/drawing/2014/main" id="{5FE3AA7D-7237-49B9-859E-9A512C001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312421</xdr:colOff>
      <xdr:row>1</xdr:row>
      <xdr:rowOff>38099</xdr:rowOff>
    </xdr:from>
    <xdr:to>
      <xdr:col>10</xdr:col>
      <xdr:colOff>22860</xdr:colOff>
      <xdr:row>10</xdr:row>
      <xdr:rowOff>137160</xdr:rowOff>
    </xdr:to>
    <xdr:graphicFrame macro="">
      <xdr:nvGraphicFramePr>
        <xdr:cNvPr id="15" name="chtIncomeExpenses" descr="Column bar chart comparing income and expenses">
          <a:extLst>
            <a:ext uri="{FF2B5EF4-FFF2-40B4-BE49-F238E27FC236}">
              <a16:creationId xmlns:a16="http://schemas.microsoft.com/office/drawing/2014/main" id="{7B513F86-1DF3-4ECC-B36C-9216CB58E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3D242CF-79D1-4525-9E08-5DA2EB437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F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76A5A2F8-04AD-48DD-8AA3-8B31DD7A7CDC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77%</a:t>
          </a:fld>
          <a:endParaRPr lang="en-US" sz="400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381000</xdr:colOff>
      <xdr:row>23</xdr:row>
      <xdr:rowOff>22860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4D855B61-1397-4105-AB24-F289D2D1D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312421</xdr:colOff>
      <xdr:row>1</xdr:row>
      <xdr:rowOff>38099</xdr:rowOff>
    </xdr:from>
    <xdr:to>
      <xdr:col>10</xdr:col>
      <xdr:colOff>243841</xdr:colOff>
      <xdr:row>11</xdr:row>
      <xdr:rowOff>38100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F0D20F30-DF32-4EDC-88F7-A4816133D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3D1CCF-0BE7-4619-BB73-1D1D0014A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H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6C7AABC3-7FC3-4610-88C7-480A33CE70BE}" type="TxLink">
            <a:rPr lang="en-US" sz="36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90%</a:t>
          </a:fld>
          <a:endParaRPr lang="en-US" sz="400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381000</xdr:colOff>
      <xdr:row>23</xdr:row>
      <xdr:rowOff>22860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8E018A92-F4C5-448F-B449-9F573BEB2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60960</xdr:colOff>
      <xdr:row>1</xdr:row>
      <xdr:rowOff>38099</xdr:rowOff>
    </xdr:from>
    <xdr:to>
      <xdr:col>10</xdr:col>
      <xdr:colOff>7620</xdr:colOff>
      <xdr:row>11</xdr:row>
      <xdr:rowOff>30480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531FDA64-5BEF-4C20-B6BE-04866B205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7CD9F5-5CA3-4634-BB87-34D0D238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J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59DF5FD6-D1BB-43FE-92C5-08956E5EBE4F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80%</a:t>
          </a:fld>
          <a:endParaRPr lang="en-US" sz="400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381000</xdr:colOff>
      <xdr:row>23</xdr:row>
      <xdr:rowOff>22860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2099BA7A-FBF6-41AF-9BF1-0558C789C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556260</xdr:colOff>
      <xdr:row>1</xdr:row>
      <xdr:rowOff>38099</xdr:rowOff>
    </xdr:from>
    <xdr:to>
      <xdr:col>10</xdr:col>
      <xdr:colOff>243841</xdr:colOff>
      <xdr:row>11</xdr:row>
      <xdr:rowOff>15240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5F80043A-FFDB-4739-AA52-5E3A596E6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533638-9FEB-4F3F-B20E-E30057F82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L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6220EBE6-D74F-43C5-836A-6286583021E1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73%</a:t>
          </a:fld>
          <a:endParaRPr lang="en-US" sz="400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1</xdr:col>
      <xdr:colOff>2994660</xdr:colOff>
      <xdr:row>11</xdr:row>
      <xdr:rowOff>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7EBD2556-C867-4133-A691-A82581255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335279</xdr:colOff>
      <xdr:row>1</xdr:row>
      <xdr:rowOff>38099</xdr:rowOff>
    </xdr:from>
    <xdr:to>
      <xdr:col>10</xdr:col>
      <xdr:colOff>243840</xdr:colOff>
      <xdr:row>10</xdr:row>
      <xdr:rowOff>137160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BC68F219-8E09-4516-A80E-0157E3CD6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9AD4C3-E576-48BB-B99A-441D13509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N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AFCEC46C-29BC-49AD-B52A-745907508DBB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91%</a:t>
          </a:fld>
          <a:endParaRPr lang="en-US" sz="400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381000</xdr:colOff>
      <xdr:row>23</xdr:row>
      <xdr:rowOff>22860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0AEA3C5D-F59A-4203-8903-74CA7CCFA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518159</xdr:colOff>
      <xdr:row>1</xdr:row>
      <xdr:rowOff>38099</xdr:rowOff>
    </xdr:from>
    <xdr:to>
      <xdr:col>10</xdr:col>
      <xdr:colOff>243840</xdr:colOff>
      <xdr:row>11</xdr:row>
      <xdr:rowOff>30480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BF44D5F9-28F8-4F1D-B666-6ED3F29F3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82FE2A-8618-4F75-9885-07E8EBD8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P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F619D2F2-7A83-4691-BDA1-B144559FF922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93%</a:t>
          </a:fld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381000</xdr:colOff>
      <xdr:row>23</xdr:row>
      <xdr:rowOff>22860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E910A5CB-CEC2-46A0-AAC5-556F55410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518159</xdr:colOff>
      <xdr:row>1</xdr:row>
      <xdr:rowOff>38099</xdr:rowOff>
    </xdr:from>
    <xdr:to>
      <xdr:col>10</xdr:col>
      <xdr:colOff>243840</xdr:colOff>
      <xdr:row>11</xdr:row>
      <xdr:rowOff>38100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B20AF2C8-3E7A-42E4-88F3-603342B75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5213DF-FEAA-4E64-92C8-E3257B6C0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R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7C87E4AD-FFAE-4949-BA75-6ABCE45F3564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80%</a:t>
          </a:fld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0</xdr:colOff>
      <xdr:row>10</xdr:row>
      <xdr:rowOff>167640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26A2EA42-5EAC-44F1-9267-B704B6E32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586740</xdr:colOff>
      <xdr:row>1</xdr:row>
      <xdr:rowOff>38099</xdr:rowOff>
    </xdr:from>
    <xdr:to>
      <xdr:col>10</xdr:col>
      <xdr:colOff>335280</xdr:colOff>
      <xdr:row>11</xdr:row>
      <xdr:rowOff>22860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323DA476-50D2-4899-A9F8-10AAA5E7E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433F8-DC7D-4025-8919-F7E47B636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T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084B67AF-9A01-4679-8258-C399BA0A538C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50%</a:t>
          </a:fld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2</xdr:col>
      <xdr:colOff>762000</xdr:colOff>
      <xdr:row>30</xdr:row>
      <xdr:rowOff>83820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999E565F-11E3-420C-8B0B-B01050415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632459</xdr:colOff>
      <xdr:row>1</xdr:row>
      <xdr:rowOff>38099</xdr:rowOff>
    </xdr:from>
    <xdr:to>
      <xdr:col>10</xdr:col>
      <xdr:colOff>243840</xdr:colOff>
      <xdr:row>10</xdr:row>
      <xdr:rowOff>144780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305ECD99-73BC-484F-AE7F-936CB5A70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2A5DB-9672-46AD-8305-E75307BC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V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C124B678-5DDB-40A4-93C1-816837763A64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77%</a:t>
          </a:fld>
          <a:endParaRPr lang="en-US" sz="3333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259079</xdr:rowOff>
    </xdr:from>
    <xdr:to>
      <xdr:col>1</xdr:col>
      <xdr:colOff>3078480</xdr:colOff>
      <xdr:row>10</xdr:row>
      <xdr:rowOff>167640</xdr:rowOff>
    </xdr:to>
    <xdr:graphicFrame macro="">
      <xdr:nvGraphicFramePr>
        <xdr:cNvPr id="2" name="chtIncomePct" descr="Donut chart showing percentage of income spent">
          <a:extLst>
            <a:ext uri="{FF2B5EF4-FFF2-40B4-BE49-F238E27FC236}">
              <a16:creationId xmlns:a16="http://schemas.microsoft.com/office/drawing/2014/main" id="{FAD73EDF-56C2-45A9-8103-31852606F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640079</xdr:colOff>
      <xdr:row>1</xdr:row>
      <xdr:rowOff>38099</xdr:rowOff>
    </xdr:from>
    <xdr:to>
      <xdr:col>10</xdr:col>
      <xdr:colOff>190500</xdr:colOff>
      <xdr:row>10</xdr:row>
      <xdr:rowOff>160020</xdr:rowOff>
    </xdr:to>
    <xdr:graphicFrame macro="">
      <xdr:nvGraphicFramePr>
        <xdr:cNvPr id="3" name="chtIncomeExpenses" descr="Column bar chart comparing income and expenses">
          <a:extLst>
            <a:ext uri="{FF2B5EF4-FFF2-40B4-BE49-F238E27FC236}">
              <a16:creationId xmlns:a16="http://schemas.microsoft.com/office/drawing/2014/main" id="{85B06CE5-35F9-4491-9D87-C8653C23C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3017520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6479B6-F19B-4DD7-83E1-81647555B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0.07846</cdr:x>
      <cdr:y>0.40242</cdr:y>
    </cdr:from>
    <cdr:to>
      <cdr:x>0.9718</cdr:x>
      <cdr:y>0.78297</cdr:y>
    </cdr:to>
    <cdr:sp macro="" textlink="data!$X$2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D2C4E2C-0261-6E5A-5432-E58EECBC0E5F}"/>
            </a:ext>
          </a:extLst>
        </cdr:cNvPr>
        <cdr:cNvSpPr/>
      </cdr:nvSpPr>
      <cdr:spPr>
        <a:xfrm xmlns:a="http://schemas.openxmlformats.org/drawingml/2006/main">
          <a:off x="233162" y="1097797"/>
          <a:ext cx="2654828" cy="10381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3D651FD2-6DAE-4AFF-9076-A07320540605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  <a:ea typeface="Calibri"/>
              <a:cs typeface="Calibri"/>
            </a:rPr>
            <a:pPr algn="ctr"/>
            <a:t>72%</a:t>
          </a:fld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798FC-1C82-47F3-9202-E8F33AFE214C}" name="MonthlyIncome" displayName="MonthlyIncome" ref="B13:C16" totalsRowShown="0" headerRowDxfId="191" dataDxfId="190" headerRowCellStyle="Heading 2">
  <autoFilter ref="B13:C16" xr:uid="{7A3798FC-1C82-47F3-9202-E8F33AFE214C}"/>
  <tableColumns count="2">
    <tableColumn id="1" xr3:uid="{38842727-6A39-4F42-8BE9-3C9A4F85EE96}" name="ITEM" dataDxfId="189" dataCellStyle="Item"/>
    <tableColumn id="2" xr3:uid="{49E189BE-BD15-4DC9-9778-567021DE7432}" name="AMOUNT" dataDxfId="188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B8D796-32E6-43DA-AA04-B2DEE61A6BE7}" name="MonthlyExpenses" displayName="MonthlyExpenses" ref="H13:J26" totalsRowShown="0" headerRowDxfId="187" dataDxfId="186" headerRowCellStyle="Heading 2">
  <autoFilter ref="H13:J26" xr:uid="{0DB8D796-32E6-43DA-AA04-B2DEE61A6BE7}"/>
  <tableColumns count="3">
    <tableColumn id="1" xr3:uid="{89AFF3D7-F993-4A8D-A78D-48D8FF7F19FE}" name="ITEM" dataDxfId="185" dataCellStyle="Item"/>
    <tableColumn id="2" xr3:uid="{A402CCA1-C3C3-467A-B6B4-8D490ACE3132}" name="DUE DATE" dataDxfId="184" dataCellStyle="Date"/>
    <tableColumn id="3" xr3:uid="{8DCCE89E-BCC3-4009-8834-86835741843B}" name="AMOUNT" dataDxfId="183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C3CB6B-BDEB-4DFB-A18D-696356E3B453}" name="Savings3" displayName="Savings3" ref="M13:N16" totalsRowShown="0" headerRowDxfId="182" dataDxfId="181" headerRowCellStyle="Heading 2">
  <autoFilter ref="M13:N16" xr:uid="{A6C3CB6B-BDEB-4DFB-A18D-696356E3B453}"/>
  <tableColumns count="2">
    <tableColumn id="1" xr3:uid="{5077EDAF-5F4B-444E-B03A-2489401977D8}" name="DATE" dataDxfId="180" dataCellStyle="Date"/>
    <tableColumn id="2" xr3:uid="{CAE8A1E6-E0E9-4424-B564-B8337D783E47}" name="AMOUNT" dataDxfId="179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36D9F2-A248-4B4C-A15F-DC8E37CCEB5A}" name="Table6" displayName="Table6" ref="B23:C32" totalsRowShown="0" headerRowDxfId="178" headerRowCellStyle="Heading 2">
  <autoFilter ref="B23:C32" xr:uid="{9136D9F2-A248-4B4C-A15F-DC8E37CCEB5A}"/>
  <tableColumns count="2">
    <tableColumn id="1" xr3:uid="{B7C2C897-B0B7-4E62-A85F-B1ACC8D8A270}" name="ITEM" dataDxfId="177"/>
    <tableColumn id="2" xr3:uid="{E48F17BE-B6F5-4A2E-B001-34F068F06773}" name="AMOUNT" dataDxfId="176"/>
  </tableColumns>
  <tableStyleInfo name="Personal budget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52FC88-09B7-46A3-B06B-736FB9EBAD19}" name="MonthlyIncome5" displayName="MonthlyIncome5" ref="B13:C16" totalsRowShown="0" headerRowDxfId="175" dataDxfId="174" headerRowCellStyle="Heading 2">
  <autoFilter ref="B13:C16" xr:uid="{D452FC88-09B7-46A3-B06B-736FB9EBAD19}"/>
  <tableColumns count="2">
    <tableColumn id="1" xr3:uid="{76372634-8432-4303-ABD6-5EB790CCDBB5}" name="ITEM" dataDxfId="173" dataCellStyle="Item"/>
    <tableColumn id="2" xr3:uid="{E4A63B76-F51F-466E-BAC3-0F549F29102E}" name="AMOUNT" dataDxfId="172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206718-27F3-4A79-AEEC-0439A5B365C4}" name="MonthlyExpenses6" displayName="MonthlyExpenses6" ref="H13:J26" totalsRowShown="0" headerRowDxfId="171" dataDxfId="170" headerRowCellStyle="Heading 2">
  <autoFilter ref="H13:J26" xr:uid="{DC206718-27F3-4A79-AEEC-0439A5B365C4}"/>
  <tableColumns count="3">
    <tableColumn id="1" xr3:uid="{F3CDE1B6-7977-414F-A031-B04AAFED9E0C}" name="ITEM" dataDxfId="169" dataCellStyle="Item"/>
    <tableColumn id="2" xr3:uid="{8669909E-E2D2-414F-9D33-9AD58E2B9C45}" name="DUE DATE" dataDxfId="168" dataCellStyle="Date"/>
    <tableColumn id="3" xr3:uid="{4CD38179-F3E9-46A3-BAB6-049F517E62AD}" name="AMOUNT" dataDxfId="167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B48570-E126-48D4-A8F5-91F0F6E4EF26}" name="Savings38" displayName="Savings38" ref="M13:N16" totalsRowShown="0" headerRowDxfId="166" dataDxfId="165" headerRowCellStyle="Heading 2">
  <autoFilter ref="M13:N16" xr:uid="{0DB48570-E126-48D4-A8F5-91F0F6E4EF26}"/>
  <tableColumns count="2">
    <tableColumn id="1" xr3:uid="{44BD770D-6884-4FD5-BF4A-38DC6E664C1F}" name="DATE" dataDxfId="164" dataCellStyle="Date"/>
    <tableColumn id="2" xr3:uid="{2D021C85-9770-419F-AA2F-DE45BFBD8082}" name="AMOUNT" dataDxfId="163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F07C5B-B617-4D70-AAC3-D44346F848C0}" name="Table69" displayName="Table69" ref="B23:C32" totalsRowShown="0" headerRowDxfId="162" headerRowCellStyle="Heading 2">
  <autoFilter ref="B23:C32" xr:uid="{3BF07C5B-B617-4D70-AAC3-D44346F848C0}"/>
  <tableColumns count="2">
    <tableColumn id="1" xr3:uid="{7DC8D89F-2415-415F-A2BC-C02F250BA112}" name="ITEM" dataDxfId="161"/>
    <tableColumn id="2" xr3:uid="{A0A8E495-57E0-4D9E-8DF3-F28A6CCBFF78}" name="AMOUNT" dataDxfId="160"/>
  </tableColumns>
  <tableStyleInfo name="Personal budget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E539213-D749-44FA-B789-B3050C48E784}" name="MonthlyIncome530" displayName="MonthlyIncome530" ref="B13:C16" totalsRowShown="0" headerRowDxfId="159" dataDxfId="158" headerRowCellStyle="Heading 2">
  <autoFilter ref="B13:C16" xr:uid="{AE539213-D749-44FA-B789-B3050C48E784}"/>
  <tableColumns count="2">
    <tableColumn id="1" xr3:uid="{50FC389F-0F86-4B77-8041-B98441D93DBD}" name="ITEM" dataDxfId="157" dataCellStyle="Item"/>
    <tableColumn id="2" xr3:uid="{55D27077-BAC8-48B4-9C44-66BA684BA11F}" name="AMOUNT" dataDxfId="156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88F7364-7305-4B9E-855C-E300991CE800}" name="MonthlyExpenses631" displayName="MonthlyExpenses631" ref="H13:J26" totalsRowShown="0" headerRowDxfId="155" dataDxfId="154" headerRowCellStyle="Heading 2">
  <autoFilter ref="H13:J26" xr:uid="{F88F7364-7305-4B9E-855C-E300991CE800}"/>
  <tableColumns count="3">
    <tableColumn id="1" xr3:uid="{F6DE24EB-044C-46CE-88F1-6ADA24DB0758}" name="ITEM" dataDxfId="153" dataCellStyle="Item"/>
    <tableColumn id="2" xr3:uid="{978AEB65-C591-4D83-B74E-B24FE6706D79}" name="DUE DATE" dataDxfId="152" dataCellStyle="Date"/>
    <tableColumn id="3" xr3:uid="{60BD68A2-A170-4D21-9B61-3CB7AFC4850F}" name="AMOUNT" dataDxfId="151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ABC0404-0C03-47CB-A6F2-279A98CAB775}" name="Savings3832" displayName="Savings3832" ref="M13:N16" totalsRowShown="0" headerRowDxfId="150" dataDxfId="149" headerRowCellStyle="Heading 2">
  <autoFilter ref="M13:N16" xr:uid="{0ABC0404-0C03-47CB-A6F2-279A98CAB775}"/>
  <tableColumns count="2">
    <tableColumn id="1" xr3:uid="{D3D6E6D7-6543-4CAE-8F6D-CF2A3508B4AA}" name="DATE" dataDxfId="148" dataCellStyle="Date"/>
    <tableColumn id="2" xr3:uid="{A590F569-8336-4151-B3DD-D16F447BD7B7}" name="AMOUNT" dataDxfId="147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854CB83-EAAF-4948-872C-09F7A79C1829}" name="Table6933" displayName="Table6933" ref="B23:C32" totalsRowShown="0" headerRowDxfId="146" headerRowCellStyle="Heading 2">
  <autoFilter ref="B23:C32" xr:uid="{D854CB83-EAAF-4948-872C-09F7A79C1829}"/>
  <tableColumns count="2">
    <tableColumn id="1" xr3:uid="{F8B51217-1AEA-4EEB-B6BD-60B8FC8BC4E1}" name="ITEM" dataDxfId="145"/>
    <tableColumn id="2" xr3:uid="{A0B2E0DF-CD36-4709-8F6E-40A15514D080}" name="AMOUNT" dataDxfId="144"/>
  </tableColumns>
  <tableStyleInfo name="Personal budget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F1CE285-70C5-4BFA-9C0F-FADCFB4B5587}" name="MonthlyIncome534" displayName="MonthlyIncome534" ref="B13:C16" totalsRowShown="0" headerRowDxfId="143" dataDxfId="142" headerRowCellStyle="Heading 2">
  <autoFilter ref="B13:C16" xr:uid="{7F1CE285-70C5-4BFA-9C0F-FADCFB4B5587}"/>
  <tableColumns count="2">
    <tableColumn id="1" xr3:uid="{0C8042E0-8FD2-463D-8A50-966AE64AB572}" name="ITEM" dataDxfId="141" dataCellStyle="Item"/>
    <tableColumn id="2" xr3:uid="{387F7390-DA9B-47B1-A24B-AAF73E9E4018}" name="AMOUNT" dataDxfId="140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CE572E7-9082-478C-86C5-986120B46C30}" name="MonthlyExpenses635" displayName="MonthlyExpenses635" ref="H13:J26" totalsRowShown="0" headerRowDxfId="139" dataDxfId="138" headerRowCellStyle="Heading 2">
  <autoFilter ref="H13:J26" xr:uid="{ECE572E7-9082-478C-86C5-986120B46C30}"/>
  <tableColumns count="3">
    <tableColumn id="1" xr3:uid="{37B4CFF9-14F5-4265-994D-72A6CAC4BAD6}" name="ITEM" dataDxfId="137" dataCellStyle="Item"/>
    <tableColumn id="2" xr3:uid="{1B29A707-C2AA-4608-917D-846DF2BDC435}" name="DUE DATE" dataDxfId="136" dataCellStyle="Date"/>
    <tableColumn id="3" xr3:uid="{D963FC5F-50A6-410E-8D97-9B8E83B2ACC4}" name="AMOUNT" dataDxfId="135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CAE7CDD-E469-4912-8B3A-47691B63EC45}" name="Savings3836" displayName="Savings3836" ref="M13:N16" totalsRowShown="0" headerRowDxfId="134" dataDxfId="133" headerRowCellStyle="Heading 2">
  <autoFilter ref="M13:N16" xr:uid="{BCAE7CDD-E469-4912-8B3A-47691B63EC45}"/>
  <tableColumns count="2">
    <tableColumn id="1" xr3:uid="{D3D45F87-7CA5-4C52-9BC0-344B702B4765}" name="DATE" dataDxfId="132" dataCellStyle="Date"/>
    <tableColumn id="2" xr3:uid="{630BD9A5-018E-449C-8188-09C3E76F1514}" name="AMOUNT" dataDxfId="131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591CD68-EB74-47A1-8A13-7468B558A28E}" name="Table6937" displayName="Table6937" ref="B23:C32" totalsRowShown="0" headerRowDxfId="130" headerRowCellStyle="Heading 2">
  <autoFilter ref="B23:C32" xr:uid="{7591CD68-EB74-47A1-8A13-7468B558A28E}"/>
  <tableColumns count="2">
    <tableColumn id="1" xr3:uid="{8AE72C17-184D-4B9E-B84E-7C10FCB330F6}" name="ITEM" dataDxfId="129"/>
    <tableColumn id="2" xr3:uid="{5CFEB518-9EA2-429E-B084-606563361ED4}" name="AMOUNT" dataDxfId="128"/>
  </tableColumns>
  <tableStyleInfo name="Personal budget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33BA5C1-66DF-4A20-8A59-8923CAA81825}" name="MonthlyIncome538" displayName="MonthlyIncome538" ref="B13:C16" totalsRowShown="0" headerRowDxfId="127" dataDxfId="126" headerRowCellStyle="Heading 2">
  <autoFilter ref="B13:C16" xr:uid="{333BA5C1-66DF-4A20-8A59-8923CAA81825}"/>
  <tableColumns count="2">
    <tableColumn id="1" xr3:uid="{F4F037A1-1F7C-4861-96C5-07D7C73A4FA1}" name="ITEM" dataDxfId="125" dataCellStyle="Item"/>
    <tableColumn id="2" xr3:uid="{C1237B60-C5DF-4931-A048-A554E5F50BB8}" name="AMOUNT" dataDxfId="124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4AD1448-B71D-442A-A6FE-013135F4F596}" name="MonthlyExpenses639" displayName="MonthlyExpenses639" ref="H13:J26" totalsRowShown="0" headerRowDxfId="123" dataDxfId="122" headerRowCellStyle="Heading 2">
  <autoFilter ref="H13:J26" xr:uid="{B4AD1448-B71D-442A-A6FE-013135F4F596}"/>
  <tableColumns count="3">
    <tableColumn id="1" xr3:uid="{1D832B86-5F44-419D-A339-BA23A1A9EF64}" name="ITEM" dataDxfId="121" dataCellStyle="Item"/>
    <tableColumn id="2" xr3:uid="{44373A66-FFF9-45D4-A27E-0AE09692606A}" name="DUE DATE" dataDxfId="120" dataCellStyle="Date"/>
    <tableColumn id="3" xr3:uid="{3A66259F-590E-4E07-97ED-7B9FB192E541}" name="AMOUNT" dataDxfId="119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9849ACB-9E1D-4864-91EA-A9A641536485}" name="Savings3840" displayName="Savings3840" ref="M13:N16" totalsRowShown="0" headerRowDxfId="118" dataDxfId="117" headerRowCellStyle="Heading 2">
  <autoFilter ref="M13:N16" xr:uid="{29849ACB-9E1D-4864-91EA-A9A641536485}"/>
  <tableColumns count="2">
    <tableColumn id="1" xr3:uid="{F599B3BF-BF7C-4E5E-9677-4B7BF00965DB}" name="DATE" dataDxfId="116" dataCellStyle="Date"/>
    <tableColumn id="2" xr3:uid="{1076A4DE-D417-40DA-A019-9C5D741A07DA}" name="AMOUNT" dataDxfId="115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932ABC3-5FB4-42ED-9114-51B912F77486}" name="Table6941" displayName="Table6941" ref="B23:C32" totalsRowShown="0" headerRowDxfId="114" headerRowCellStyle="Heading 2">
  <autoFilter ref="B23:C32" xr:uid="{1932ABC3-5FB4-42ED-9114-51B912F77486}"/>
  <tableColumns count="2">
    <tableColumn id="1" xr3:uid="{E4E146AB-E123-42B6-A9A5-CB830047512E}" name="ITEM" dataDxfId="113"/>
    <tableColumn id="2" xr3:uid="{809A56E0-ABD3-4716-AA97-2AC8B1B1E615}" name="AMOUNT" dataDxfId="112"/>
  </tableColumns>
  <tableStyleInfo name="Personal budget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C31D774-8DAA-483C-BE0B-0CCAAA9E02C9}" name="MonthlyIncome542" displayName="MonthlyIncome542" ref="B13:C16" totalsRowShown="0" headerRowDxfId="111" dataDxfId="110" headerRowCellStyle="Heading 2">
  <autoFilter ref="B13:C16" xr:uid="{1C31D774-8DAA-483C-BE0B-0CCAAA9E02C9}"/>
  <tableColumns count="2">
    <tableColumn id="1" xr3:uid="{A782F52E-C9BA-4CD8-81B6-AEFAA140D29C}" name="ITEM" dataDxfId="109" dataCellStyle="Item"/>
    <tableColumn id="2" xr3:uid="{9E7D5CE8-70F7-402D-AA73-7571C5A76BA1}" name="AMOUNT" dataDxfId="108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EEF8AB6-DAD0-404E-B783-6CFB7D1C6CDF}" name="MonthlyExpenses643" displayName="MonthlyExpenses643" ref="H13:J26" totalsRowShown="0" headerRowDxfId="107" dataDxfId="106" headerRowCellStyle="Heading 2">
  <autoFilter ref="H13:J26" xr:uid="{AEEF8AB6-DAD0-404E-B783-6CFB7D1C6CDF}"/>
  <tableColumns count="3">
    <tableColumn id="1" xr3:uid="{FFE2DAE1-9399-4E33-9C81-EA1F6923CC98}" name="ITEM" dataDxfId="105" dataCellStyle="Item"/>
    <tableColumn id="2" xr3:uid="{6DEE54E9-8132-45C4-9A5C-1DC6FF6788C3}" name="DUE DATE" dataDxfId="104" dataCellStyle="Date"/>
    <tableColumn id="3" xr3:uid="{2C1D9AC7-D88A-43C9-B280-D39074FDEA0A}" name="AMOUNT" dataDxfId="103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5DF1859-9044-45ED-AA21-8C6487C1F5D1}" name="Savings3844" displayName="Savings3844" ref="M13:N16" totalsRowShown="0" headerRowDxfId="102" dataDxfId="101" headerRowCellStyle="Heading 2">
  <autoFilter ref="M13:N16" xr:uid="{F5DF1859-9044-45ED-AA21-8C6487C1F5D1}"/>
  <tableColumns count="2">
    <tableColumn id="1" xr3:uid="{304BD449-D0ED-4BCA-A778-44F174920581}" name="DATE" dataDxfId="100" dataCellStyle="Date"/>
    <tableColumn id="2" xr3:uid="{AA8BE126-6679-4A98-B121-6D721E8304A7}" name="AMOUNT" dataDxfId="99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9A69D33-06D2-4E2E-BC37-90A4558AE24C}" name="Table6945" displayName="Table6945" ref="B23:C32" totalsRowShown="0" headerRowDxfId="98" headerRowCellStyle="Heading 2">
  <autoFilter ref="B23:C32" xr:uid="{79A69D33-06D2-4E2E-BC37-90A4558AE24C}"/>
  <tableColumns count="2">
    <tableColumn id="1" xr3:uid="{CA731C6A-C25D-4A03-B389-60E405684114}" name="ITEM" dataDxfId="97"/>
    <tableColumn id="2" xr3:uid="{6C0DDB33-8FB3-4FD0-A44F-F813BDF76FEC}" name="AMOUNT" dataDxfId="96"/>
  </tableColumns>
  <tableStyleInfo name="Personal budget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159406C-B6AC-46C5-A669-203AF855EF09}" name="MonthlyIncome546" displayName="MonthlyIncome546" ref="B13:C16" totalsRowShown="0" headerRowDxfId="95" dataDxfId="94" headerRowCellStyle="Heading 2">
  <autoFilter ref="B13:C16" xr:uid="{E159406C-B6AC-46C5-A669-203AF855EF09}"/>
  <tableColumns count="2">
    <tableColumn id="1" xr3:uid="{A183ED97-7768-4F97-92E6-CC3C58E2479D}" name="ITEM" dataDxfId="93" dataCellStyle="Item"/>
    <tableColumn id="2" xr3:uid="{A0C15ABC-9D0F-4088-922E-7A37A7A6EDE8}" name="AMOUNT" dataDxfId="92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D8A78584-2AA4-42A7-B998-E9F54433AAA0}" name="MonthlyExpenses647" displayName="MonthlyExpenses647" ref="H13:J26" totalsRowShown="0" headerRowDxfId="91" dataDxfId="90" headerRowCellStyle="Heading 2">
  <autoFilter ref="H13:J26" xr:uid="{D8A78584-2AA4-42A7-B998-E9F54433AAA0}"/>
  <tableColumns count="3">
    <tableColumn id="1" xr3:uid="{2D883369-85FD-41C3-9309-7BA7798D558D}" name="ITEM" dataDxfId="89" dataCellStyle="Item"/>
    <tableColumn id="2" xr3:uid="{ACABC766-90C5-42B7-9430-0C0D8CC1D22A}" name="DUE DATE" dataDxfId="88" dataCellStyle="Date"/>
    <tableColumn id="3" xr3:uid="{204C7650-1CD9-4E8F-B577-767B14E3E950}" name="AMOUNT" dataDxfId="87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E3AB4AB-2C35-4E6A-A6C8-563A5BE7C670}" name="Savings3848" displayName="Savings3848" ref="M13:N16" totalsRowShown="0" headerRowDxfId="86" dataDxfId="85" headerRowCellStyle="Heading 2">
  <autoFilter ref="M13:N16" xr:uid="{EE3AB4AB-2C35-4E6A-A6C8-563A5BE7C670}"/>
  <tableColumns count="2">
    <tableColumn id="1" xr3:uid="{64D2DDA3-360F-4A29-A15D-4E0751825F3F}" name="DATE" dataDxfId="84" dataCellStyle="Date"/>
    <tableColumn id="2" xr3:uid="{68AF1AE8-E4CA-421E-BC03-F3E5B89F0A56}" name="AMOUNT" dataDxfId="83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1A00297-5A56-4C4C-A56F-3198ABD9275F}" name="Table6949" displayName="Table6949" ref="B23:C32" totalsRowShown="0" headerRowDxfId="82" headerRowCellStyle="Heading 2">
  <autoFilter ref="B23:C32" xr:uid="{81A00297-5A56-4C4C-A56F-3198ABD9275F}"/>
  <tableColumns count="2">
    <tableColumn id="1" xr3:uid="{F96CE3A4-A340-4AB1-858E-6CE1C32D57EF}" name="ITEM" dataDxfId="81"/>
    <tableColumn id="2" xr3:uid="{8D00F37F-A869-411F-B553-6DB273EA4424}" name="AMOUNT" dataDxfId="80"/>
  </tableColumns>
  <tableStyleInfo name="Personal budget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213EF62-6BCE-4996-BE3B-4ACEC7511AC2}" name="MonthlyIncome554" displayName="MonthlyIncome554" ref="B13:C16" totalsRowShown="0" headerRowDxfId="79" dataDxfId="78" headerRowCellStyle="Heading 2">
  <autoFilter ref="B13:C16" xr:uid="{8213EF62-6BCE-4996-BE3B-4ACEC7511AC2}"/>
  <tableColumns count="2">
    <tableColumn id="1" xr3:uid="{6B539872-E570-423E-B424-5C1F730759CC}" name="ITEM" dataDxfId="77" dataCellStyle="Item"/>
    <tableColumn id="2" xr3:uid="{30A63D26-2370-41CF-A29E-C6A325F8834F}" name="AMOUNT" dataDxfId="76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CD1F50C-4789-4FB3-8A41-7E5A71D02183}" name="MonthlyExpenses655" displayName="MonthlyExpenses655" ref="H13:J26" totalsRowShown="0" headerRowDxfId="75" dataDxfId="74" headerRowCellStyle="Heading 2">
  <autoFilter ref="H13:J26" xr:uid="{ECD1F50C-4789-4FB3-8A41-7E5A71D02183}"/>
  <tableColumns count="3">
    <tableColumn id="1" xr3:uid="{40EEE0BF-D605-4407-B2A9-9D7D020B711B}" name="ITEM" dataDxfId="73" dataCellStyle="Item"/>
    <tableColumn id="2" xr3:uid="{2124D5B1-BC10-47E2-A3DD-ABE96E829854}" name="DUE DATE" dataDxfId="72" dataCellStyle="Date"/>
    <tableColumn id="3" xr3:uid="{3B8B51AA-28A0-44D8-80DF-17513F742318}" name="AMOUNT" dataDxfId="71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5F3665B-740E-4C05-A1B9-EE0F7B878F91}" name="Savings3856" displayName="Savings3856" ref="M13:N16" totalsRowShown="0" headerRowDxfId="70" dataDxfId="69" headerRowCellStyle="Heading 2">
  <autoFilter ref="M13:N16" xr:uid="{C5F3665B-740E-4C05-A1B9-EE0F7B878F91}"/>
  <tableColumns count="2">
    <tableColumn id="1" xr3:uid="{F44BA256-DA09-41B3-B033-3729A3727E31}" name="DATE" dataDxfId="68" dataCellStyle="Date"/>
    <tableColumn id="2" xr3:uid="{908E5FDF-2D3A-494F-904C-85951C8DFE4D}" name="AMOUNT" dataDxfId="67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744E9B2-768A-45E5-B5C0-3426DFA8215A}" name="Table6957" displayName="Table6957" ref="B23:C32" totalsRowShown="0" headerRowDxfId="66" headerRowCellStyle="Heading 2">
  <autoFilter ref="B23:C32" xr:uid="{4744E9B2-768A-45E5-B5C0-3426DFA8215A}"/>
  <tableColumns count="2">
    <tableColumn id="1" xr3:uid="{4BFE10D6-3B89-4121-9DB7-5A3C9DEA9FF5}" name="ITEM" dataDxfId="65"/>
    <tableColumn id="2" xr3:uid="{50B9AD0A-6F1F-4319-8BC6-8B77AC619609}" name="AMOUNT" dataDxfId="64"/>
  </tableColumns>
  <tableStyleInfo name="Personal budget table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3E445A42-04F3-49DF-9F5E-8608004D6360}" name="MonthlyIncome558" displayName="MonthlyIncome558" ref="B13:C16" totalsRowShown="0" headerRowDxfId="63" dataDxfId="62" headerRowCellStyle="Heading 2">
  <autoFilter ref="B13:C16" xr:uid="{3E445A42-04F3-49DF-9F5E-8608004D6360}"/>
  <tableColumns count="2">
    <tableColumn id="1" xr3:uid="{EA329DB6-D0E5-4E7D-B689-9415E06BC6CC}" name="ITEM" dataDxfId="61" dataCellStyle="Item"/>
    <tableColumn id="2" xr3:uid="{FCF6E71D-33E5-401B-8290-FE76116DFB63}" name="AMOUNT" dataDxfId="60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64AFF155-2BAA-405A-B48B-7C5F1F65E957}" name="MonthlyExpenses659" displayName="MonthlyExpenses659" ref="H13:J26" totalsRowShown="0" headerRowDxfId="59" dataDxfId="58" headerRowCellStyle="Heading 2">
  <autoFilter ref="H13:J26" xr:uid="{64AFF155-2BAA-405A-B48B-7C5F1F65E957}"/>
  <tableColumns count="3">
    <tableColumn id="1" xr3:uid="{5F850C08-D29A-41DC-AB0A-7EBC42EB4CAD}" name="ITEM" dataDxfId="57" dataCellStyle="Item"/>
    <tableColumn id="2" xr3:uid="{2569707D-35E8-47DD-9790-56354ADAE2E6}" name="DUE DATE" dataDxfId="56" dataCellStyle="Date"/>
    <tableColumn id="3" xr3:uid="{40479312-ECC0-47BB-A028-97A280A0C0D3}" name="AMOUNT" dataDxfId="55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A08926D-9730-4EF8-8F5B-A06861F5B694}" name="Savings3860" displayName="Savings3860" ref="M13:N16" totalsRowShown="0" headerRowDxfId="54" dataDxfId="53" headerRowCellStyle="Heading 2">
  <autoFilter ref="M13:N16" xr:uid="{7A08926D-9730-4EF8-8F5B-A06861F5B694}"/>
  <tableColumns count="2">
    <tableColumn id="1" xr3:uid="{21BE5DA7-FB0F-4100-8758-9E52F39DC534}" name="DATE" dataDxfId="52" dataCellStyle="Date"/>
    <tableColumn id="2" xr3:uid="{E1A00B7B-0B4A-4F74-ACB6-C54BA348693E}" name="AMOUNT" dataDxfId="51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A9C4E15D-570F-4A4F-9183-75D1C22AC416}" name="Table6961" displayName="Table6961" ref="B23:C32" totalsRowShown="0" headerRowDxfId="50" headerRowCellStyle="Heading 2">
  <autoFilter ref="B23:C32" xr:uid="{A9C4E15D-570F-4A4F-9183-75D1C22AC416}"/>
  <tableColumns count="2">
    <tableColumn id="1" xr3:uid="{F38A2785-FDCD-497F-B1A5-0B9041C63472}" name="ITEM" dataDxfId="49"/>
    <tableColumn id="2" xr3:uid="{FFF31A07-0C1A-4732-9376-522D476A83DE}" name="AMOUNT" dataDxfId="48"/>
  </tableColumns>
  <tableStyleInfo name="Personal budget table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8F6A7D8-0F44-4213-B127-9D6AC2F82C64}" name="MonthlyIncome55862" displayName="MonthlyIncome55862" ref="B13:C16" totalsRowShown="0" headerRowDxfId="47" dataDxfId="46" headerRowCellStyle="Heading 2">
  <autoFilter ref="B13:C16" xr:uid="{88F6A7D8-0F44-4213-B127-9D6AC2F82C64}"/>
  <tableColumns count="2">
    <tableColumn id="1" xr3:uid="{85C7FD73-C33F-4819-A73B-07CE2138C06F}" name="ITEM" dataDxfId="45" dataCellStyle="Item"/>
    <tableColumn id="2" xr3:uid="{57312725-7808-4A18-B843-F39A8FCE578E}" name="AMOUNT" dataDxfId="44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B319F736-53FB-4773-8F25-24850F7DFB97}" name="MonthlyExpenses65963" displayName="MonthlyExpenses65963" ref="H13:J26" totalsRowShown="0" headerRowDxfId="43" dataDxfId="42" headerRowCellStyle="Heading 2">
  <autoFilter ref="H13:J26" xr:uid="{B319F736-53FB-4773-8F25-24850F7DFB97}"/>
  <tableColumns count="3">
    <tableColumn id="1" xr3:uid="{A7BC5802-9A21-45F8-A58C-6470E87D6BAF}" name="ITEM" dataDxfId="41" dataCellStyle="Item"/>
    <tableColumn id="2" xr3:uid="{0B5738FF-5D40-4190-84A0-4E6E6C67F21E}" name="DUE DATE" dataDxfId="40" dataCellStyle="Date"/>
    <tableColumn id="3" xr3:uid="{BF847A73-CFE9-4276-B956-919D226EEF0B}" name="AMOUNT" dataDxfId="39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0F57866-CF17-47AD-B05F-0D6F03E70A63}" name="Savings386064" displayName="Savings386064" ref="M13:N16" totalsRowShown="0" headerRowDxfId="38" dataDxfId="37" headerRowCellStyle="Heading 2">
  <autoFilter ref="M13:N16" xr:uid="{90F57866-CF17-47AD-B05F-0D6F03E70A63}"/>
  <tableColumns count="2">
    <tableColumn id="1" xr3:uid="{A6459CCD-7DEF-4772-B3BD-0BB4031E9C10}" name="DATE" dataDxfId="36" dataCellStyle="Date"/>
    <tableColumn id="2" xr3:uid="{9F19D5BC-5AA6-4061-B296-D9F11081783B}" name="AMOUNT" dataDxfId="35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98CF2706-C552-44CD-81AA-EDE4B9F4FE05}" name="Table696165" displayName="Table696165" ref="B23:C32" totalsRowShown="0" headerRowDxfId="34" headerRowCellStyle="Heading 2">
  <autoFilter ref="B23:C32" xr:uid="{98CF2706-C552-44CD-81AA-EDE4B9F4FE05}"/>
  <tableColumns count="2">
    <tableColumn id="1" xr3:uid="{E2B192EC-E7E5-4967-A533-7398EE2643DB}" name="ITEM" dataDxfId="33"/>
    <tableColumn id="2" xr3:uid="{2236095B-6066-4ABA-891E-01D6591B9CA8}" name="AMOUNT" dataDxfId="32"/>
  </tableColumns>
  <tableStyleInfo name="Personal budget table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20559DFC-FE04-4D26-859E-EF33356C5E0F}" name="MonthlyIncome55866" displayName="MonthlyIncome55866" ref="B13:C16" totalsRowShown="0" headerRowDxfId="31" dataDxfId="30" headerRowCellStyle="Heading 2">
  <autoFilter ref="B13:C16" xr:uid="{20559DFC-FE04-4D26-859E-EF33356C5E0F}"/>
  <tableColumns count="2">
    <tableColumn id="1" xr3:uid="{C4823BF3-E7CB-495D-B637-51221AB3F454}" name="ITEM" dataDxfId="29" dataCellStyle="Item"/>
    <tableColumn id="2" xr3:uid="{D154C763-780B-4DE6-ADE3-2F5D498A7CE1}" name="AMOUNT" dataDxfId="28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C448DCC-4696-4F6E-88FF-49A3C3DB90A9}" name="MonthlyExpenses65967" displayName="MonthlyExpenses65967" ref="H13:J26" totalsRowShown="0" headerRowDxfId="27" dataDxfId="26" headerRowCellStyle="Heading 2">
  <autoFilter ref="H13:J26" xr:uid="{DC448DCC-4696-4F6E-88FF-49A3C3DB90A9}"/>
  <tableColumns count="3">
    <tableColumn id="1" xr3:uid="{F3F02D33-0426-477A-A128-ED5FA29B3051}" name="ITEM" dataDxfId="25" dataCellStyle="Item"/>
    <tableColumn id="2" xr3:uid="{98B9F15C-F866-4850-9A22-7942543AF1E3}" name="DUE DATE" dataDxfId="24" dataCellStyle="Date"/>
    <tableColumn id="3" xr3:uid="{9D73894F-B838-44F3-8759-85A935EF1C0D}" name="AMOUNT" dataDxfId="23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A545052-0073-440E-92D7-26DF5026E2D5}" name="Savings386068" displayName="Savings386068" ref="M13:N16" totalsRowShown="0" headerRowDxfId="22" dataDxfId="21" headerRowCellStyle="Heading 2">
  <autoFilter ref="M13:N16" xr:uid="{6A545052-0073-440E-92D7-26DF5026E2D5}"/>
  <tableColumns count="2">
    <tableColumn id="1" xr3:uid="{883C6792-5D31-41A0-9AC2-82AE73BA3D32}" name="DATE" dataDxfId="20" dataCellStyle="Date"/>
    <tableColumn id="2" xr3:uid="{FB063F16-1C7C-43A0-8531-2118CF64C5D8}" name="AMOUNT" dataDxfId="19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36E454D6-1F97-40A6-B4CF-5A1A4DA87230}" name="Table696169" displayName="Table696169" ref="B23:C32" totalsRowShown="0" headerRowDxfId="18" headerRowCellStyle="Heading 2">
  <autoFilter ref="B23:C32" xr:uid="{36E454D6-1F97-40A6-B4CF-5A1A4DA87230}"/>
  <tableColumns count="2">
    <tableColumn id="1" xr3:uid="{E51C2868-4FAC-4D5E-876D-DB492506A0D2}" name="ITEM" dataDxfId="17"/>
    <tableColumn id="2" xr3:uid="{2F788181-A382-476D-B03E-A98752D52689}" name="AMOUNT" dataDxfId="16"/>
  </tableColumns>
  <tableStyleInfo name="Personal budget table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F26391C-F92B-4B55-B00D-225B10B11170}" name="MonthlyIncome55870" displayName="MonthlyIncome55870" ref="B13:C16" totalsRowShown="0" headerRowDxfId="15" dataDxfId="14" headerRowCellStyle="Heading 2">
  <autoFilter ref="B13:C16" xr:uid="{0F26391C-F92B-4B55-B00D-225B10B11170}"/>
  <tableColumns count="2">
    <tableColumn id="1" xr3:uid="{DDAC3456-0908-44CC-AA5C-CF7BAAA60C85}" name="ITEM" dataDxfId="13" dataCellStyle="Item"/>
    <tableColumn id="2" xr3:uid="{C3326937-9EBB-45D1-A306-756959381B50}" name="AMOUNT" dataDxfId="12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BC6AD136-72B2-4EF2-9CA7-81B66E4AA29D}" name="MonthlyExpenses65971" displayName="MonthlyExpenses65971" ref="H13:J26" totalsRowShown="0" headerRowDxfId="11" dataDxfId="10" headerRowCellStyle="Heading 2">
  <autoFilter ref="H13:J26" xr:uid="{BC6AD136-72B2-4EF2-9CA7-81B66E4AA29D}"/>
  <tableColumns count="3">
    <tableColumn id="1" xr3:uid="{D3646C6C-4FD7-40E8-A12C-9AD9C670E701}" name="ITEM" dataDxfId="9" dataCellStyle="Item"/>
    <tableColumn id="2" xr3:uid="{BBE84837-7327-49AE-9319-485F73A144C6}" name="DUE DATE" dataDxfId="8" dataCellStyle="Date"/>
    <tableColumn id="3" xr3:uid="{4E497051-C702-44BE-938C-0EAE4DC06A99}" name="AMOUNT" dataDxfId="7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D162859E-FBE2-4624-AC26-047FEB444D3A}" name="Savings386072" displayName="Savings386072" ref="M13:N16" totalsRowShown="0" headerRowDxfId="6" dataDxfId="5" headerRowCellStyle="Heading 2">
  <autoFilter ref="M13:N16" xr:uid="{D162859E-FBE2-4624-AC26-047FEB444D3A}"/>
  <tableColumns count="2">
    <tableColumn id="1" xr3:uid="{B42E1B0E-2371-4EF6-8BE0-4E5230CCB34E}" name="DATE" dataDxfId="4" dataCellStyle="Date"/>
    <tableColumn id="2" xr3:uid="{16B7BAFB-E6D7-4875-84DA-C0B659A3AD66}" name="AMOUNT" dataDxfId="3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7A9477F4-00CA-4A2A-9A13-7685B196FFF8}" name="Table696173" displayName="Table696173" ref="B23:C32" totalsRowShown="0" headerRowDxfId="2" headerRowCellStyle="Heading 2">
  <autoFilter ref="B23:C32" xr:uid="{7A9477F4-00CA-4A2A-9A13-7685B196FFF8}"/>
  <tableColumns count="2">
    <tableColumn id="1" xr3:uid="{A8EE4C22-8F63-40D0-ABFE-3DBFC88F4F9C}" name="ITEM" dataDxfId="1"/>
    <tableColumn id="2" xr3:uid="{84400CD6-516A-415B-B24B-AEAE375315D4}" name="AMOUNT" dataDxfId="0"/>
  </tableColumns>
  <tableStyleInfo name="Personal budget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9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11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13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15.xm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drawing" Target="../drawings/drawing1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drawing" Target="../drawings/drawing19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drawing" Target="../drawings/drawing21.xml"/><Relationship Id="rId5" Type="http://schemas.openxmlformats.org/officeDocument/2006/relationships/table" Target="../tables/table44.xml"/><Relationship Id="rId4" Type="http://schemas.openxmlformats.org/officeDocument/2006/relationships/table" Target="../tables/table4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drawing" Target="../drawings/drawing23.xml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0DE5-737B-4B16-9F01-2EEDDF2DB695}">
  <dimension ref="A1:P32"/>
  <sheetViews>
    <sheetView showGridLines="0" tabSelected="1" workbookViewId="0">
      <selection activeCell="E15" sqref="E15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5" s="16" customFormat="1" ht="23.4" x14ac:dyDescent="0.3">
      <c r="B1" s="17" t="s">
        <v>0</v>
      </c>
    </row>
    <row r="2" spans="1:15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5" s="4" customFormat="1" ht="18.600000000000001" thickTop="1" thickBot="1" x14ac:dyDescent="0.4">
      <c r="A3" s="1"/>
      <c r="B3" s="30"/>
      <c r="C3" s="5" t="s">
        <v>3</v>
      </c>
      <c r="D3" s="5"/>
      <c r="E3" s="31"/>
      <c r="F3" s="31"/>
      <c r="G3" s="31"/>
      <c r="H3" s="31"/>
      <c r="I3" s="31"/>
    </row>
    <row r="4" spans="1:15" s="4" customFormat="1" ht="31.8" thickTop="1" x14ac:dyDescent="0.3">
      <c r="A4" s="1"/>
      <c r="B4" s="30"/>
      <c r="C4" s="6">
        <f>SUM(MonthlyIncome[[#All],[AMOUNT]])</f>
        <v>2000</v>
      </c>
      <c r="D4" s="6"/>
      <c r="E4" s="31"/>
      <c r="F4" s="31"/>
      <c r="G4" s="31"/>
      <c r="H4" s="31"/>
      <c r="I4" s="31"/>
    </row>
    <row r="5" spans="1:15" s="4" customFormat="1" ht="18" thickBot="1" x14ac:dyDescent="0.4">
      <c r="A5" s="1"/>
      <c r="B5" s="30"/>
      <c r="C5" s="7" t="s">
        <v>4</v>
      </c>
      <c r="D5" s="7"/>
      <c r="E5" s="31"/>
      <c r="F5" s="31"/>
      <c r="G5" s="31"/>
      <c r="H5" s="31"/>
      <c r="I5" s="31"/>
    </row>
    <row r="6" spans="1:15" s="4" customFormat="1" ht="31.8" thickTop="1" x14ac:dyDescent="0.3">
      <c r="A6" s="1"/>
      <c r="B6" s="30"/>
      <c r="C6" s="25">
        <f>SUM(MonthlyExpenses[AMOUNT])+SUM(Table6[])+SUM(Savings3[AMOUNT])</f>
        <v>400</v>
      </c>
      <c r="D6" s="6"/>
      <c r="E6" s="31"/>
      <c r="F6" s="31"/>
      <c r="G6" s="31"/>
      <c r="H6" s="31"/>
      <c r="I6" s="31"/>
    </row>
    <row r="7" spans="1:15" s="4" customFormat="1" ht="18" thickBot="1" x14ac:dyDescent="0.4">
      <c r="A7" s="1"/>
      <c r="B7" s="30"/>
      <c r="C7" s="7" t="s">
        <v>5</v>
      </c>
      <c r="D7" s="7"/>
      <c r="E7" s="31"/>
      <c r="F7" s="31"/>
      <c r="G7" s="31"/>
      <c r="H7" s="31"/>
      <c r="I7" s="31"/>
    </row>
    <row r="8" spans="1:15" s="4" customFormat="1" ht="31.8" thickTop="1" x14ac:dyDescent="0.3">
      <c r="A8" s="1"/>
      <c r="B8" s="30"/>
      <c r="C8" s="24">
        <f>SUM(Savings3[AMOUNT])</f>
        <v>200</v>
      </c>
      <c r="D8" s="6"/>
      <c r="E8" s="31"/>
      <c r="F8" s="31"/>
      <c r="G8" s="31"/>
      <c r="H8" s="31"/>
      <c r="I8" s="31"/>
    </row>
    <row r="9" spans="1:15" s="4" customFormat="1" ht="18" thickBot="1" x14ac:dyDescent="0.4">
      <c r="A9" s="1"/>
      <c r="B9" s="30"/>
      <c r="C9" s="7" t="s">
        <v>6</v>
      </c>
      <c r="D9" s="7"/>
      <c r="E9" s="31"/>
      <c r="F9" s="31"/>
      <c r="G9" s="31"/>
      <c r="H9" s="31"/>
      <c r="I9" s="31"/>
    </row>
    <row r="10" spans="1:15" s="4" customFormat="1" ht="31.8" thickTop="1" x14ac:dyDescent="0.3">
      <c r="A10" s="1"/>
      <c r="B10" s="30"/>
      <c r="C10" s="28">
        <f>TotalMonthlyIncome-TotalMonthlyExpenses</f>
        <v>1600</v>
      </c>
      <c r="D10" s="6"/>
      <c r="E10" s="31"/>
      <c r="F10" s="31"/>
      <c r="G10" s="31"/>
      <c r="H10" s="31"/>
      <c r="I10" s="31"/>
    </row>
    <row r="11" spans="1:15" s="8" customFormat="1" ht="14.4" x14ac:dyDescent="0.3">
      <c r="A11" s="1"/>
      <c r="C11" s="1"/>
      <c r="D11" s="1"/>
      <c r="E11" s="31"/>
      <c r="F11" s="31"/>
      <c r="G11" s="31"/>
      <c r="H11" s="31"/>
      <c r="I11" s="31"/>
    </row>
    <row r="12" spans="1:15" s="8" customFormat="1" ht="20.399999999999999" thickBot="1" x14ac:dyDescent="0.45">
      <c r="A12" s="4"/>
      <c r="B12" s="3" t="s">
        <v>7</v>
      </c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</row>
    <row r="13" spans="1:15" s="8" customFormat="1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</row>
    <row r="14" spans="1:15" s="8" customFormat="1" ht="15" thickTop="1" x14ac:dyDescent="0.3">
      <c r="A14" s="4"/>
      <c r="B14" s="9" t="s">
        <v>14</v>
      </c>
      <c r="C14" s="10">
        <v>0</v>
      </c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</row>
    <row r="15" spans="1:15" s="8" customFormat="1" ht="14.4" x14ac:dyDescent="0.3">
      <c r="A15" s="4"/>
      <c r="B15" s="13" t="s">
        <v>17</v>
      </c>
      <c r="C15" s="10">
        <v>2000</v>
      </c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200</v>
      </c>
    </row>
    <row r="16" spans="1:15" s="8" customFormat="1" ht="14.4" x14ac:dyDescent="0.3">
      <c r="A16" s="4"/>
      <c r="B16" s="13" t="s">
        <v>20</v>
      </c>
      <c r="C16" s="10">
        <v>0</v>
      </c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0</v>
      </c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100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C24" s="1">
        <v>100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/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2">
    <mergeCell ref="B3:B10"/>
    <mergeCell ref="E3:I11"/>
  </mergeCells>
  <dataValidations count="22">
    <dataValidation allowBlank="1" showInputMessage="1" showErrorMessage="1" prompt="Enter savngs deposit Date in this column under this heading. Use heading filters to find specific entries" sqref="M13" xr:uid="{DF6EE429-12D7-4876-86E9-5667580A9297}"/>
    <dataValidation allowBlank="1" showInputMessage="1" showErrorMessage="1" prompt="Enter Monthly Savings in table below" sqref="M12" xr:uid="{35DF93F3-40F6-40F5-BF7A-614F37C8A211}"/>
    <dataValidation allowBlank="1" showInputMessage="1" showErrorMessage="1" prompt="Enter expense Items in this column under this heading. Use heading filters to find specific entries" sqref="H13 B23" xr:uid="{455D1442-9EE5-4D39-A260-2BF1C5FD3984}"/>
    <dataValidation allowBlank="1" showInputMessage="1" showErrorMessage="1" prompt="Enter Due Date in this column under this heading" sqref="I13 C23" xr:uid="{2A7AE351-0275-41D8-BF7D-ABF045616BC6}"/>
    <dataValidation allowBlank="1" showInputMessage="1" showErrorMessage="1" prompt="Enter Monthly Expenses in table below" sqref="H12 B22" xr:uid="{A4100310-4178-44AA-A80F-DB3C2D6A9BD8}"/>
    <dataValidation allowBlank="1" showInputMessage="1" showErrorMessage="1" prompt="Enter income Items in this column under this heading. Use heading filters to find specific entries" sqref="B13" xr:uid="{FAD205BC-8045-418F-BA8E-75CF554750DB}"/>
    <dataValidation allowBlank="1" showInputMessage="1" showErrorMessage="1" prompt="Enter Amount in this column under this heading" sqref="C13 J13 N13 D23" xr:uid="{A85A20C4-F9A7-492E-BCE6-0D6FEDC8B997}"/>
    <dataValidation allowBlank="1" showInputMessage="1" showErrorMessage="1" prompt="Enter Monthly Income details in table below" sqref="B12" xr:uid="{604901A0-7641-417C-BD87-DB13DA96514B}"/>
    <dataValidation allowBlank="1" showInputMessage="1" showErrorMessage="1" prompt="Column chart contrasting total monthly income and total monthly expenses is in cells  D3 through H11" sqref="E3:I11" xr:uid="{16388EB1-3CCC-4F79-8870-7688929C00D8}"/>
    <dataValidation allowBlank="1" showInputMessage="1" showErrorMessage="1" prompt="Cash Balance is automatically calculated in cell below" sqref="C9:D9" xr:uid="{F2A1CCA2-C33B-4C6C-AD22-A59F0085E5F0}"/>
    <dataValidation allowBlank="1" showInputMessage="1" showErrorMessage="1" prompt="Total Monthly Savings are automatically calculated in cell below" sqref="C7:D7" xr:uid="{197223E9-76EE-472F-BC1E-417000BA9572}"/>
    <dataValidation allowBlank="1" showInputMessage="1" showErrorMessage="1" prompt="Total Monthly Expenses are automatically calculated in cell below" sqref="C5:D5" xr:uid="{226CE6CC-0508-4DF8-BEC2-495A34D34339}"/>
    <dataValidation allowBlank="1" showInputMessage="1" showErrorMessage="1" prompt="Total Monthly Income is automatically calculated in cell below" sqref="C3:D3" xr:uid="{48B3849C-1AE8-45E5-9CA9-48639AA47D89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EBF403DD-F651-4DCC-8D91-A2FE26ABF197}"/>
    <dataValidation allowBlank="1" showInputMessage="1" showErrorMessage="1" prompt="Donut chart with percentage of income spent is in cell below" sqref="B2" xr:uid="{EA19289A-E864-4834-B12A-1EC6DEF3ABD4}"/>
    <dataValidation allowBlank="1" showInputMessage="1" showErrorMessage="1" prompt="Donut chart with percentage of income spent is in this cell" sqref="B3:B10" xr:uid="{EBFA0AF6-6A12-4BA6-879E-366BA3C26FC0}"/>
    <dataValidation allowBlank="1" showInputMessage="1" showErrorMessage="1" prompt="Title of this worksheet is in this cell. Summary of Total Monthly Income, Total Monthly Expenses, Total Monthly Savings, and Cash Balance is in cells C3 through C10" sqref="B1" xr:uid="{DA8D9BDD-CC11-4B30-8574-7F87EE7B57EE}"/>
    <dataValidation allowBlank="1" showInputMessage="1" showErrorMessage="1" prompt="Cash Balance is automatically calculated in this cell" sqref="C10:D10" xr:uid="{43BE4D0C-57BD-4FA5-A0FC-9D6C15570CE3}"/>
    <dataValidation allowBlank="1" showInputMessage="1" showErrorMessage="1" prompt="Total Monthly Savings are automatically calculated in this cell" sqref="C8:D8" xr:uid="{1F3F4AB4-0138-471E-9846-15D9E563C349}"/>
    <dataValidation allowBlank="1" showInputMessage="1" showErrorMessage="1" prompt="Total Monthly Expenses are automatically calculated in this cell" sqref="C6:D6" xr:uid="{CA977E52-013C-4576-8FD3-F3FE43C6DE89}"/>
    <dataValidation allowBlank="1" showInputMessage="1" showErrorMessage="1" prompt="Total Monthly Income is automatically calculated in this cell " sqref="C4:D4" xr:uid="{77A17984-BD24-46CB-A5F3-27007EEE149A}"/>
    <dataValidation allowBlank="1" showInputMessage="1" showErrorMessage="1" prompt="Create a Personal budget in this workbook. Donut and column charts are automatically updated in this worksheet based on total monthly income and expenses" sqref="A1" xr:uid="{76169FFA-1D4B-4B76-8A76-0E462ABD2BBE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5FBD-FF54-4FCA-8080-7AF0A0ED788E}">
  <dimension ref="A1:P32"/>
  <sheetViews>
    <sheetView showGridLines="0" workbookViewId="0">
      <selection activeCell="E10" sqref="E10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SUM(MonthlyIncome5[[#All],[AMOUNT]])</f>
        <v>2000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SUM(C8)+SUM(MonthlyExpenses6[AMOUNT])+SUM(Table69[AMOUNT])</f>
        <v>400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SUM(Savings38[AMOUNT])</f>
        <v>200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9">
        <f>C4-C6</f>
        <v>1600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200</v>
      </c>
      <c r="P15" s="8"/>
    </row>
    <row r="16" spans="1:16" ht="14.4" x14ac:dyDescent="0.3">
      <c r="A16" s="4"/>
      <c r="B16" s="13" t="s">
        <v>20</v>
      </c>
      <c r="C16" s="10">
        <v>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100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C25" s="1">
        <v>100</v>
      </c>
      <c r="G25" s="4"/>
      <c r="H25" s="13"/>
      <c r="I25" s="12"/>
      <c r="J25" s="10">
        <v>0</v>
      </c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Create a Personal budget in this workbook. Donut and column charts are automatically updated in this worksheet based on total monthly income and expenses" sqref="A1" xr:uid="{109B94C0-85FF-41AA-A9FE-2D563FFF64A4}"/>
    <dataValidation allowBlank="1" showInputMessage="1" showErrorMessage="1" prompt="Total Monthly Income is automatically calculated in this cell " sqref="C4:D4" xr:uid="{495B20D0-F7C7-4212-8A15-FF47C6018119}"/>
    <dataValidation allowBlank="1" showInputMessage="1" showErrorMessage="1" prompt="Total Monthly Expenses are automatically calculated in this cell" sqref="C6:D6" xr:uid="{1CB6F270-2986-4696-9086-2276A29BD0B8}"/>
    <dataValidation allowBlank="1" showInputMessage="1" showErrorMessage="1" prompt="Total Monthly Savings are automatically calculated in this cell" sqref="C8:D8" xr:uid="{F6295AC4-F259-402E-960B-350B158679D2}"/>
    <dataValidation allowBlank="1" showInputMessage="1" showErrorMessage="1" prompt="Cash Balance is automatically calculated in this cell" sqref="C10:D10" xr:uid="{9126E0C0-5EED-4387-A3AB-B6374D21EDC2}"/>
    <dataValidation allowBlank="1" showInputMessage="1" showErrorMessage="1" prompt="Title of this worksheet is in this cell. Summary of Total Monthly Income, Total Monthly Expenses, Total Monthly Savings, and Cash Balance is in cells C3 through C10" sqref="B1" xr:uid="{BC24807B-918F-4F95-9DD7-CD83C2981CD3}"/>
    <dataValidation allowBlank="1" showInputMessage="1" showErrorMessage="1" prompt="Donut chart with percentage of income spent is in this cell" sqref="B3:B10" xr:uid="{59374C53-9599-4D3D-8047-F622812D2ED1}"/>
    <dataValidation allowBlank="1" showInputMessage="1" showErrorMessage="1" prompt="Donut chart with percentage of income spent is in cell below" sqref="B2" xr:uid="{FCA9B4BB-5656-4697-929B-ED391B23B489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BB91C32F-686B-4CF2-A58A-6C2D4B208A43}"/>
    <dataValidation allowBlank="1" showInputMessage="1" showErrorMessage="1" prompt="Total Monthly Income is automatically calculated in cell below" sqref="C3:D3" xr:uid="{E68A033F-6192-478B-ADC7-7D0BBDE53673}"/>
    <dataValidation allowBlank="1" showInputMessage="1" showErrorMessage="1" prompt="Total Monthly Expenses are automatically calculated in cell below" sqref="C5:D5" xr:uid="{76D31536-BDC6-4B36-90B6-A8F66BA74FE4}"/>
    <dataValidation allowBlank="1" showInputMessage="1" showErrorMessage="1" prompt="Total Monthly Savings are automatically calculated in cell below" sqref="C7:D7" xr:uid="{7906E665-39C0-4604-9F64-41804A1FB6AA}"/>
    <dataValidation allowBlank="1" showInputMessage="1" showErrorMessage="1" prompt="Cash Balance is automatically calculated in cell below" sqref="C9:D9" xr:uid="{58F2EAC1-33B6-4D72-A654-0533E6F6432F}"/>
    <dataValidation allowBlank="1" showInputMessage="1" showErrorMessage="1" prompt="Enter Monthly Income details in table below" sqref="B12" xr:uid="{3236C574-EC4E-4B59-A0A1-B3CB9F3C6CB6}"/>
    <dataValidation allowBlank="1" showInputMessage="1" showErrorMessage="1" prompt="Enter Amount in this column under this heading" sqref="C13 J13 N13 D23" xr:uid="{C452670F-5C3B-422F-A885-B51ADE594B2E}"/>
    <dataValidation allowBlank="1" showInputMessage="1" showErrorMessage="1" prompt="Enter income Items in this column under this heading. Use heading filters to find specific entries" sqref="B13" xr:uid="{CA1140AF-91F6-4C3E-91A7-16FF5D645AFF}"/>
    <dataValidation allowBlank="1" showInputMessage="1" showErrorMessage="1" prompt="Enter Monthly Expenses in table below" sqref="H12 B22" xr:uid="{D703A4F9-B5B3-43E4-8A2B-79631055C8DC}"/>
    <dataValidation allowBlank="1" showInputMessage="1" showErrorMessage="1" prompt="Enter Due Date in this column under this heading" sqref="I13 C23" xr:uid="{86FDC841-95FE-424C-A618-B7B40F5D829F}"/>
    <dataValidation allowBlank="1" showInputMessage="1" showErrorMessage="1" prompt="Enter expense Items in this column under this heading. Use heading filters to find specific entries" sqref="H13 B23" xr:uid="{6F8D0B10-1E29-4895-9E74-9CCD0942DDE7}"/>
    <dataValidation allowBlank="1" showInputMessage="1" showErrorMessage="1" prompt="Enter Monthly Savings in table below" sqref="M12" xr:uid="{5D015C1B-6394-4107-9141-4F275B3C54F1}"/>
    <dataValidation allowBlank="1" showInputMessage="1" showErrorMessage="1" prompt="Enter savngs deposit Date in this column under this heading. Use heading filters to find specific entries" sqref="M13" xr:uid="{1B77BF33-55D9-4D08-A957-9EB02F431E32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1B7B-285F-426E-ADFF-34F1F4280962}">
  <dimension ref="A1:P32"/>
  <sheetViews>
    <sheetView showGridLines="0" workbookViewId="0">
      <selection activeCell="C15" sqref="C15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SUM(MonthlyIncome530[[#All],[AMOUNT]])</f>
        <v>2200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6">
        <f>SUM(MonthlyExpenses631[AMOUNT])+SUM(Table6933[AMOUNT])+SUM(Savings3832[AMOUNT])</f>
        <v>500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6">
        <f>SUM(Savings3832[AMOUNT])</f>
        <v>200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6">
        <f>C4-C6</f>
        <v>1700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200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200</v>
      </c>
      <c r="P15" s="8"/>
    </row>
    <row r="16" spans="1:16" ht="14.4" x14ac:dyDescent="0.3">
      <c r="A16" s="4"/>
      <c r="B16" s="13" t="s">
        <v>20</v>
      </c>
      <c r="C16" s="10"/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100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100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C24" s="1">
        <v>100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/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Create a Personal budget in this workbook. Donut and column charts are automatically updated in this worksheet based on total monthly income and expenses" sqref="A1" xr:uid="{2E739461-F6ED-4529-AD38-2F18FCD0D786}"/>
    <dataValidation allowBlank="1" showInputMessage="1" showErrorMessage="1" prompt="Total Monthly Income is automatically calculated in this cell " sqref="C4:D4" xr:uid="{F3A2CB73-FF45-4C3C-B06A-5899A5313F89}"/>
    <dataValidation allowBlank="1" showInputMessage="1" showErrorMessage="1" prompt="Total Monthly Expenses are automatically calculated in this cell" sqref="C6:D6" xr:uid="{D85E4468-5A34-4900-9354-05BEA63B4A10}"/>
    <dataValidation allowBlank="1" showInputMessage="1" showErrorMessage="1" prompt="Total Monthly Savings are automatically calculated in this cell" sqref="C8:D8" xr:uid="{49B47189-8D91-456C-B3E4-28952C4A4086}"/>
    <dataValidation allowBlank="1" showInputMessage="1" showErrorMessage="1" prompt="Cash Balance is automatically calculated in this cell" sqref="C10:D10" xr:uid="{612B202C-9489-4665-85FB-3E4D6FC50584}"/>
    <dataValidation allowBlank="1" showInputMessage="1" showErrorMessage="1" prompt="Title of this worksheet is in this cell. Summary of Total Monthly Income, Total Monthly Expenses, Total Monthly Savings, and Cash Balance is in cells C3 through C10" sqref="B1" xr:uid="{62204253-3EE2-4269-B6B7-FC6DD5932AF1}"/>
    <dataValidation allowBlank="1" showInputMessage="1" showErrorMessage="1" prompt="Donut chart with percentage of income spent is in this cell" sqref="B3:B10" xr:uid="{0AFD0C8F-3CB6-4D9F-9313-BFCE83467755}"/>
    <dataValidation allowBlank="1" showInputMessage="1" showErrorMessage="1" prompt="Donut chart with percentage of income spent is in cell below" sqref="B2" xr:uid="{F2B67393-6038-4D38-B9E9-916B831C50A2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508510B6-9F19-49EC-A0C4-60B4E81CC813}"/>
    <dataValidation allowBlank="1" showInputMessage="1" showErrorMessage="1" prompt="Total Monthly Income is automatically calculated in cell below" sqref="C3:D3" xr:uid="{E209A69E-09AB-4F40-BA95-A5521104C7BC}"/>
    <dataValidation allowBlank="1" showInputMessage="1" showErrorMessage="1" prompt="Total Monthly Expenses are automatically calculated in cell below" sqref="C5:D5" xr:uid="{DD58CC29-6473-4BFC-AC32-9C53BFFD7317}"/>
    <dataValidation allowBlank="1" showInputMessage="1" showErrorMessage="1" prompt="Total Monthly Savings are automatically calculated in cell below" sqref="C7:D7" xr:uid="{5CD9E865-2F97-4048-A07C-4407D90DF9B2}"/>
    <dataValidation allowBlank="1" showInputMessage="1" showErrorMessage="1" prompt="Cash Balance is automatically calculated in cell below" sqref="C9:D9" xr:uid="{656A6799-1342-45F4-83AD-C376CC109B90}"/>
    <dataValidation allowBlank="1" showInputMessage="1" showErrorMessage="1" prompt="Enter Monthly Income details in table below" sqref="B12" xr:uid="{AB86D59A-6A96-4392-9D92-9CE3670206E0}"/>
    <dataValidation allowBlank="1" showInputMessage="1" showErrorMessage="1" prompt="Enter Amount in this column under this heading" sqref="C13 J13 N13 D23" xr:uid="{D3A7E0D9-AF3A-449C-B537-D5A7CB784D5F}"/>
    <dataValidation allowBlank="1" showInputMessage="1" showErrorMessage="1" prompt="Enter income Items in this column under this heading. Use heading filters to find specific entries" sqref="B13" xr:uid="{2800E042-A470-4808-BBB3-4298B4CC41AB}"/>
    <dataValidation allowBlank="1" showInputMessage="1" showErrorMessage="1" prompt="Enter Monthly Expenses in table below" sqref="H12 B22" xr:uid="{1C136601-3EDC-4F65-82D5-4972FEA436B2}"/>
    <dataValidation allowBlank="1" showInputMessage="1" showErrorMessage="1" prompt="Enter Due Date in this column under this heading" sqref="I13 C23" xr:uid="{F02848F0-EB41-4496-AF6F-8CC975D3BAF8}"/>
    <dataValidation allowBlank="1" showInputMessage="1" showErrorMessage="1" prompt="Enter expense Items in this column under this heading. Use heading filters to find specific entries" sqref="H13 B23" xr:uid="{95245893-223B-4743-BF33-DC35D142A746}"/>
    <dataValidation allowBlank="1" showInputMessage="1" showErrorMessage="1" prompt="Enter Monthly Savings in table below" sqref="M12" xr:uid="{405889CA-BA4A-441C-AFA3-56C93AB6AEEC}"/>
    <dataValidation allowBlank="1" showInputMessage="1" showErrorMessage="1" prompt="Enter savngs deposit Date in this column under this heading. Use heading filters to find specific entries" sqref="M13" xr:uid="{147A188F-BDAC-4905-8F26-B375A21C6309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88AB-2DAE-4CD6-B13E-CD69DE05E2D6}">
  <dimension ref="A1:P32"/>
  <sheetViews>
    <sheetView showGridLines="0" workbookViewId="0">
      <selection activeCell="C10" sqref="C10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SUM(MonthlyIncome534[AMOUNT])</f>
        <v>2100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SUM(MonthlyExpenses635[AMOUNT])+SUM(Table6937[AMOUNT])+SUM(Savings3836[AMOUNT])</f>
        <v>200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SUM(Savings3836[AMOUNT])</f>
        <v>100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9">
        <f>C4-C6</f>
        <v>1900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0</v>
      </c>
      <c r="P15" s="8"/>
    </row>
    <row r="16" spans="1:16" ht="14.4" x14ac:dyDescent="0.3">
      <c r="A16" s="4"/>
      <c r="B16" s="13" t="s">
        <v>20</v>
      </c>
      <c r="C16" s="10">
        <v>100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100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C24" s="1">
        <v>100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C25" s="1">
        <v>0</v>
      </c>
      <c r="G25" s="4"/>
      <c r="H25" s="13"/>
      <c r="I25" s="12"/>
      <c r="J25" s="10"/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0</v>
      </c>
    </row>
    <row r="28" spans="1:16" ht="27.75" customHeight="1" x14ac:dyDescent="0.3">
      <c r="B28" s="8" t="s">
        <v>47</v>
      </c>
      <c r="C28" s="1">
        <v>0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Enter savngs deposit Date in this column under this heading. Use heading filters to find specific entries" sqref="M13" xr:uid="{D1DE2A4C-2038-4BCB-B0B5-DE2705D8520D}"/>
    <dataValidation allowBlank="1" showInputMessage="1" showErrorMessage="1" prompt="Enter Monthly Savings in table below" sqref="M12" xr:uid="{3EC56F65-21E8-4804-A0BD-A9EBA2896F12}"/>
    <dataValidation allowBlank="1" showInputMessage="1" showErrorMessage="1" prompt="Enter expense Items in this column under this heading. Use heading filters to find specific entries" sqref="H13 B23" xr:uid="{DFEACF77-C8F5-426B-A92B-7E14CBCE1713}"/>
    <dataValidation allowBlank="1" showInputMessage="1" showErrorMessage="1" prompt="Enter Due Date in this column under this heading" sqref="I13 C23" xr:uid="{B1F0B82C-7545-48A7-833E-F1B12CB7EC0A}"/>
    <dataValidation allowBlank="1" showInputMessage="1" showErrorMessage="1" prompt="Enter Monthly Expenses in table below" sqref="H12 B22" xr:uid="{E4A9C124-B14C-4D6D-A2AA-03047EDA5350}"/>
    <dataValidation allowBlank="1" showInputMessage="1" showErrorMessage="1" prompt="Enter income Items in this column under this heading. Use heading filters to find specific entries" sqref="B13" xr:uid="{39B9170A-0DE1-473E-B3B1-2E9902F7BE64}"/>
    <dataValidation allowBlank="1" showInputMessage="1" showErrorMessage="1" prompt="Enter Amount in this column under this heading" sqref="C13 J13 N13 D23" xr:uid="{44BF5F70-2D11-4510-A1A2-923885333202}"/>
    <dataValidation allowBlank="1" showInputMessage="1" showErrorMessage="1" prompt="Enter Monthly Income details in table below" sqref="B12" xr:uid="{59C857D1-0197-4487-BF92-574B6D56EF74}"/>
    <dataValidation allowBlank="1" showInputMessage="1" showErrorMessage="1" prompt="Cash Balance is automatically calculated in cell below" sqref="C9:D9" xr:uid="{B3C1B5D8-DFDF-4E44-8AFD-CB98FE518F24}"/>
    <dataValidation allowBlank="1" showInputMessage="1" showErrorMessage="1" prompt="Total Monthly Savings are automatically calculated in cell below" sqref="C7:D7" xr:uid="{723DF63A-C55C-4398-B813-38701BB87F41}"/>
    <dataValidation allowBlank="1" showInputMessage="1" showErrorMessage="1" prompt="Total Monthly Expenses are automatically calculated in cell below" sqref="C5:D5" xr:uid="{01C7CD72-513E-490F-A0EB-9CA403BDD041}"/>
    <dataValidation allowBlank="1" showInputMessage="1" showErrorMessage="1" prompt="Total Monthly Income is automatically calculated in cell below" sqref="C3:D3" xr:uid="{D1B5105B-9D43-43E4-AD61-5ECFAC98F4D7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35518DE7-FB42-4991-9CD2-08FB9C9626E5}"/>
    <dataValidation allowBlank="1" showInputMessage="1" showErrorMessage="1" prompt="Donut chart with percentage of income spent is in cell below" sqref="B2" xr:uid="{8E71FB58-EDB9-4998-A061-6EE2C5CA1CFF}"/>
    <dataValidation allowBlank="1" showInputMessage="1" showErrorMessage="1" prompt="Donut chart with percentage of income spent is in this cell" sqref="B3:B10" xr:uid="{599FD158-3DD9-456C-B171-92468834460D}"/>
    <dataValidation allowBlank="1" showInputMessage="1" showErrorMessage="1" prompt="Title of this worksheet is in this cell. Summary of Total Monthly Income, Total Monthly Expenses, Total Monthly Savings, and Cash Balance is in cells C3 through C10" sqref="B1" xr:uid="{81EB68B2-0E3E-4A04-BFC1-186C5288146E}"/>
    <dataValidation allowBlank="1" showInputMessage="1" showErrorMessage="1" prompt="Cash Balance is automatically calculated in this cell" sqref="C10:D10" xr:uid="{6D4E30E9-8C1A-4F58-AAAA-7390F299666A}"/>
    <dataValidation allowBlank="1" showInputMessage="1" showErrorMessage="1" prompt="Total Monthly Savings are automatically calculated in this cell" sqref="C8:D8" xr:uid="{C5432BC1-8654-4FE7-A204-13F01BE054BF}"/>
    <dataValidation allowBlank="1" showInputMessage="1" showErrorMessage="1" prompt="Total Monthly Expenses are automatically calculated in this cell" sqref="C6:D6" xr:uid="{3BD40937-24E5-46A9-8475-A3746C282DD4}"/>
    <dataValidation allowBlank="1" showInputMessage="1" showErrorMessage="1" prompt="Total Monthly Income is automatically calculated in this cell " sqref="C4:D4" xr:uid="{237C9DA1-36AC-40E7-94D7-256E5BD9266E}"/>
    <dataValidation allowBlank="1" showInputMessage="1" showErrorMessage="1" prompt="Create a Personal budget in this workbook. Donut and column charts are automatically updated in this worksheet based on total monthly income and expenses" sqref="A1" xr:uid="{8DE32A20-04E0-4A3F-9CB7-DB3A08A79B88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8098-82DA-4663-8FEC-349D964A6E0A}">
  <dimension ref="A1:P32"/>
  <sheetViews>
    <sheetView showGridLines="0" workbookViewId="0">
      <selection activeCell="C6" sqref="C6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SUM(MonthlyIncome538[AMOUNT])</f>
        <v>2500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4">
        <f>SUM(MonthlyExpenses639[AMOUNT])+SUM(Table6941[AMOUNT])+SUM(Savings3840[AMOUNT])</f>
        <v>500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5">
        <f>SUM(Savings3840[AMOUNT])</f>
        <v>300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9">
        <f>C4-C6</f>
        <v>2000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400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200</v>
      </c>
      <c r="P15" s="8"/>
    </row>
    <row r="16" spans="1:16" ht="14.4" x14ac:dyDescent="0.3">
      <c r="A16" s="4"/>
      <c r="B16" s="13" t="s">
        <v>20</v>
      </c>
      <c r="C16" s="10">
        <v>100</v>
      </c>
      <c r="D16" s="8"/>
      <c r="G16" s="4"/>
      <c r="H16" s="4" t="s">
        <v>21</v>
      </c>
      <c r="I16" s="4" t="s">
        <v>19</v>
      </c>
      <c r="J16" s="4">
        <v>100</v>
      </c>
      <c r="L16" s="1"/>
      <c r="M16" s="12" t="s">
        <v>16</v>
      </c>
      <c r="N16" s="10">
        <v>100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>
        <v>0</v>
      </c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100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Enter savngs deposit Date in this column under this heading. Use heading filters to find specific entries" sqref="M13" xr:uid="{BBF4DA87-9063-438A-A770-6B3D7473FB86}"/>
    <dataValidation allowBlank="1" showInputMessage="1" showErrorMessage="1" prompt="Enter Monthly Savings in table below" sqref="M12" xr:uid="{77FF2018-02AA-497E-A83C-894908EC7EC9}"/>
    <dataValidation allowBlank="1" showInputMessage="1" showErrorMessage="1" prompt="Enter expense Items in this column under this heading. Use heading filters to find specific entries" sqref="H13 B23" xr:uid="{F01BBD80-CBCE-408D-9B60-04525980F0A7}"/>
    <dataValidation allowBlank="1" showInputMessage="1" showErrorMessage="1" prompt="Enter Due Date in this column under this heading" sqref="I13 C23" xr:uid="{F6083495-B50F-4D1F-8B8A-F2C8516D90AA}"/>
    <dataValidation allowBlank="1" showInputMessage="1" showErrorMessage="1" prompt="Enter Monthly Expenses in table below" sqref="H12 B22" xr:uid="{9C9FCE73-7BD8-4667-B6CD-CBDABD2B610E}"/>
    <dataValidation allowBlank="1" showInputMessage="1" showErrorMessage="1" prompt="Enter income Items in this column under this heading. Use heading filters to find specific entries" sqref="B13" xr:uid="{C4DD373F-1AF5-4759-94A3-C26B9B087DFE}"/>
    <dataValidation allowBlank="1" showInputMessage="1" showErrorMessage="1" prompt="Enter Amount in this column under this heading" sqref="C13 J13 N13 D23" xr:uid="{1A957B6D-D7BA-4418-AFF2-FECF35C6EC12}"/>
    <dataValidation allowBlank="1" showInputMessage="1" showErrorMessage="1" prompt="Enter Monthly Income details in table below" sqref="B12" xr:uid="{B6D5C34B-907D-45A1-9B85-41783E71049A}"/>
    <dataValidation allowBlank="1" showInputMessage="1" showErrorMessage="1" prompt="Cash Balance is automatically calculated in cell below" sqref="C9:D9" xr:uid="{7E636858-C02D-4170-8048-5AE12C007CD6}"/>
    <dataValidation allowBlank="1" showInputMessage="1" showErrorMessage="1" prompt="Total Monthly Savings are automatically calculated in cell below" sqref="C7:D7" xr:uid="{EC9685DF-C5A0-420F-B9EE-D308C8747F88}"/>
    <dataValidation allowBlank="1" showInputMessage="1" showErrorMessage="1" prompt="Total Monthly Expenses are automatically calculated in cell below" sqref="C5:D5" xr:uid="{2F41A498-B088-40C3-B9B8-42DDD40A6D19}"/>
    <dataValidation allowBlank="1" showInputMessage="1" showErrorMessage="1" prompt="Total Monthly Income is automatically calculated in cell below" sqref="C3:D3" xr:uid="{F1556F44-A25C-4D13-8879-531636FCC83B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3304EC01-147E-433A-B163-2B03C2E7AABF}"/>
    <dataValidation allowBlank="1" showInputMessage="1" showErrorMessage="1" prompt="Donut chart with percentage of income spent is in cell below" sqref="B2" xr:uid="{40437C69-C0F9-4482-A8FF-E29252062DE4}"/>
    <dataValidation allowBlank="1" showInputMessage="1" showErrorMessage="1" prompt="Donut chart with percentage of income spent is in this cell" sqref="B3:B10" xr:uid="{F4284D7F-7F52-4E5F-803D-227425EC1ABF}"/>
    <dataValidation allowBlank="1" showInputMessage="1" showErrorMessage="1" prompt="Title of this worksheet is in this cell. Summary of Total Monthly Income, Total Monthly Expenses, Total Monthly Savings, and Cash Balance is in cells C3 through C10" sqref="B1" xr:uid="{F468D76A-E90D-4F63-A034-1D6570503F3A}"/>
    <dataValidation allowBlank="1" showInputMessage="1" showErrorMessage="1" prompt="Cash Balance is automatically calculated in this cell" sqref="C10:D10" xr:uid="{08BD8DD0-5DF2-4280-8BCE-853FD537D2D3}"/>
    <dataValidation allowBlank="1" showInputMessage="1" showErrorMessage="1" prompt="Total Monthly Savings are automatically calculated in this cell" sqref="C8:D8" xr:uid="{00109BB5-0372-45E6-9FD0-756822582BAF}"/>
    <dataValidation allowBlank="1" showInputMessage="1" showErrorMessage="1" prompt="Total Monthly Expenses are automatically calculated in this cell" sqref="C6:D6" xr:uid="{CE3A89C1-03E7-4408-B36C-850F7DECD822}"/>
    <dataValidation allowBlank="1" showInputMessage="1" showErrorMessage="1" prompt="Total Monthly Income is automatically calculated in this cell " sqref="C4:D4" xr:uid="{2BEA9173-A462-4EC2-B1FA-CD61A382C7DA}"/>
    <dataValidation allowBlank="1" showInputMessage="1" showErrorMessage="1" prompt="Create a Personal budget in this workbook. Donut and column charts are automatically updated in this worksheet based on total monthly income and expenses" sqref="A1" xr:uid="{E8ED90F5-36A9-4FF7-B08C-509334462C92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9A0A-E9A6-423D-8AAB-3CA863212D4D}">
  <dimension ref="A1:P32"/>
  <sheetViews>
    <sheetView showGridLines="0" workbookViewId="0">
      <selection activeCell="C10" sqref="C10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SUM(MonthlyIncome542[[#All],[AMOUNT]])</f>
        <v>3000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SUM(MonthlyExpenses643[AMOUNT])+SUM(Table6945[AMOUNT])+SUM(Savings3844[AMOUNT])</f>
        <v>800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SUM(Savings3844[AMOUNT])</f>
        <v>200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9">
        <f>C4-C6</f>
        <v>2200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500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200</v>
      </c>
      <c r="P15" s="8"/>
    </row>
    <row r="16" spans="1:16" ht="14.4" x14ac:dyDescent="0.3">
      <c r="A16" s="4"/>
      <c r="B16" s="13" t="s">
        <v>20</v>
      </c>
      <c r="C16" s="10">
        <v>500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500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/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100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Enter savngs deposit Date in this column under this heading. Use heading filters to find specific entries" sqref="M13" xr:uid="{F5FB2118-F741-479C-8414-D1B35CA76597}"/>
    <dataValidation allowBlank="1" showInputMessage="1" showErrorMessage="1" prompt="Enter Monthly Savings in table below" sqref="M12" xr:uid="{3CF37591-84D8-4F26-804C-97113F303FC4}"/>
    <dataValidation allowBlank="1" showInputMessage="1" showErrorMessage="1" prompt="Enter expense Items in this column under this heading. Use heading filters to find specific entries" sqref="H13 B23" xr:uid="{FDB96C6F-FD91-4073-AB18-72338CCAE5C1}"/>
    <dataValidation allowBlank="1" showInputMessage="1" showErrorMessage="1" prompt="Enter Due Date in this column under this heading" sqref="I13 C23" xr:uid="{0778DACB-1396-48F5-834C-4CC19A9C37B0}"/>
    <dataValidation allowBlank="1" showInputMessage="1" showErrorMessage="1" prompt="Enter Monthly Expenses in table below" sqref="H12 B22" xr:uid="{AA873E57-AA43-4514-9A4B-C0224582A640}"/>
    <dataValidation allowBlank="1" showInputMessage="1" showErrorMessage="1" prompt="Enter income Items in this column under this heading. Use heading filters to find specific entries" sqref="B13" xr:uid="{ACB86BA8-A2B6-465A-9A3F-55C3049D78A6}"/>
    <dataValidation allowBlank="1" showInputMessage="1" showErrorMessage="1" prompt="Enter Amount in this column under this heading" sqref="C13 J13 N13 D23" xr:uid="{ACC4BAEF-59C3-48EA-980C-19E58B44DCCA}"/>
    <dataValidation allowBlank="1" showInputMessage="1" showErrorMessage="1" prompt="Enter Monthly Income details in table below" sqref="B12" xr:uid="{4993D03A-1C5A-456D-9402-77AE5CB0A903}"/>
    <dataValidation allowBlank="1" showInputMessage="1" showErrorMessage="1" prompt="Cash Balance is automatically calculated in cell below" sqref="C9:D9" xr:uid="{A067EBDE-F792-47FE-903E-570E378DB142}"/>
    <dataValidation allowBlank="1" showInputMessage="1" showErrorMessage="1" prompt="Total Monthly Savings are automatically calculated in cell below" sqref="C7:D7" xr:uid="{1D035E36-3C7F-4120-82D0-A1FE1DBFC100}"/>
    <dataValidation allowBlank="1" showInputMessage="1" showErrorMessage="1" prompt="Total Monthly Expenses are automatically calculated in cell below" sqref="C5:D5" xr:uid="{F49BC733-5E0F-4A47-9732-3EB062CBB812}"/>
    <dataValidation allowBlank="1" showInputMessage="1" showErrorMessage="1" prompt="Total Monthly Income is automatically calculated in cell below" sqref="C3:D3" xr:uid="{DCD0338E-1748-495E-A91A-9A78D95AC1B6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E37F5BEB-7EA3-49A1-8683-299B98147C76}"/>
    <dataValidation allowBlank="1" showInputMessage="1" showErrorMessage="1" prompt="Donut chart with percentage of income spent is in cell below" sqref="B2" xr:uid="{D9043336-0B2F-4D39-86FB-77AC01093C94}"/>
    <dataValidation allowBlank="1" showInputMessage="1" showErrorMessage="1" prompt="Donut chart with percentage of income spent is in this cell" sqref="B3:B10" xr:uid="{A88F6DA8-B456-451E-BBC1-18B85E8D00FA}"/>
    <dataValidation allowBlank="1" showInputMessage="1" showErrorMessage="1" prompt="Title of this worksheet is in this cell. Summary of Total Monthly Income, Total Monthly Expenses, Total Monthly Savings, and Cash Balance is in cells C3 through C10" sqref="B1" xr:uid="{72F94E33-4651-4BE2-8186-1DFF0C59AB41}"/>
    <dataValidation allowBlank="1" showInputMessage="1" showErrorMessage="1" prompt="Cash Balance is automatically calculated in this cell" sqref="C10:D10" xr:uid="{CA70C3F1-F819-4295-AE0D-83DB698F0FA1}"/>
    <dataValidation allowBlank="1" showInputMessage="1" showErrorMessage="1" prompt="Total Monthly Savings are automatically calculated in this cell" sqref="C8:D8" xr:uid="{B2CB4679-5E18-4F40-853A-2DBDC5B98D3C}"/>
    <dataValidation allowBlank="1" showInputMessage="1" showErrorMessage="1" prompt="Total Monthly Expenses are automatically calculated in this cell" sqref="C6:D6" xr:uid="{2741ACA6-4438-4ECE-A8AD-EE7B5CC8787C}"/>
    <dataValidation allowBlank="1" showInputMessage="1" showErrorMessage="1" prompt="Total Monthly Income is automatically calculated in this cell " sqref="C4:D4" xr:uid="{639519CF-04F0-443E-A7DF-FA355D92EFD1}"/>
    <dataValidation allowBlank="1" showInputMessage="1" showErrorMessage="1" prompt="Create a Personal budget in this workbook. Donut and column charts are automatically updated in this worksheet based on total monthly income and expenses" sqref="A1" xr:uid="{FC752870-30F3-417B-AF84-99143795B7CF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DC97-3118-4805-8604-E00F46735058}">
  <dimension ref="A1:P32"/>
  <sheetViews>
    <sheetView showGridLines="0" workbookViewId="0">
      <selection activeCell="C6" sqref="C6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SUM(MonthlyIncome546[[#All],[AMOUNT]])</f>
        <v>3200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SUM(MonthlyExpenses647[AMOUNT])+SUM(Table6949[AMOUNT])+SUM(Savings3848[AMOUNT])</f>
        <v>300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SUM(Savings3848[AMOUNT])</f>
        <v>200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8">
        <f>C4-C6</f>
        <v>2900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400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200</v>
      </c>
      <c r="P15" s="8"/>
    </row>
    <row r="16" spans="1:16" ht="14.4" x14ac:dyDescent="0.3">
      <c r="A16" s="4"/>
      <c r="B16" s="13" t="s">
        <v>20</v>
      </c>
      <c r="C16" s="10">
        <v>800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/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100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Enter savngs deposit Date in this column under this heading. Use heading filters to find specific entries" sqref="M13" xr:uid="{517F1F94-3003-4318-B051-5D45F65D7857}"/>
    <dataValidation allowBlank="1" showInputMessage="1" showErrorMessage="1" prompt="Enter Monthly Savings in table below" sqref="M12" xr:uid="{8C0C229C-7923-4416-B900-1CA220DDE369}"/>
    <dataValidation allowBlank="1" showInputMessage="1" showErrorMessage="1" prompt="Enter expense Items in this column under this heading. Use heading filters to find specific entries" sqref="H13 B23" xr:uid="{A93B847A-253F-4850-AE9B-42A162D04EB4}"/>
    <dataValidation allowBlank="1" showInputMessage="1" showErrorMessage="1" prompt="Enter Due Date in this column under this heading" sqref="I13 C23" xr:uid="{804EFC32-D4AF-44F6-8300-13AC312D4CFE}"/>
    <dataValidation allowBlank="1" showInputMessage="1" showErrorMessage="1" prompt="Enter Monthly Expenses in table below" sqref="H12 B22" xr:uid="{966B19FB-2FBD-4219-8097-31AAF5A3CDF5}"/>
    <dataValidation allowBlank="1" showInputMessage="1" showErrorMessage="1" prompt="Enter income Items in this column under this heading. Use heading filters to find specific entries" sqref="B13" xr:uid="{F688B7D0-08A2-4A7E-8DB1-EE220D25924E}"/>
    <dataValidation allowBlank="1" showInputMessage="1" showErrorMessage="1" prompt="Enter Amount in this column under this heading" sqref="C13 J13 N13 D23" xr:uid="{C04A35BB-E07D-4339-B36E-273EE86A630F}"/>
    <dataValidation allowBlank="1" showInputMessage="1" showErrorMessage="1" prompt="Enter Monthly Income details in table below" sqref="B12" xr:uid="{18162076-7211-4609-ACA5-9C10DBDD8C8D}"/>
    <dataValidation allowBlank="1" showInputMessage="1" showErrorMessage="1" prompt="Cash Balance is automatically calculated in cell below" sqref="C9:D9" xr:uid="{2E49E9CA-2E60-48F6-BFAF-EA8005C7CD29}"/>
    <dataValidation allowBlank="1" showInputMessage="1" showErrorMessage="1" prompt="Total Monthly Savings are automatically calculated in cell below" sqref="C7:D7" xr:uid="{2F3D0C52-C4CC-47DC-9CAD-F02453B5D768}"/>
    <dataValidation allowBlank="1" showInputMessage="1" showErrorMessage="1" prompt="Total Monthly Expenses are automatically calculated in cell below" sqref="C5:D5" xr:uid="{B047BB51-D8C5-4CAC-9EE8-38E5BEBADF4A}"/>
    <dataValidation allowBlank="1" showInputMessage="1" showErrorMessage="1" prompt="Total Monthly Income is automatically calculated in cell below" sqref="C3:D3" xr:uid="{D016E391-DBA5-4A9B-BCE6-5B440C211D97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01736DC7-D785-44CD-8A8F-70BC9D1D9A1C}"/>
    <dataValidation allowBlank="1" showInputMessage="1" showErrorMessage="1" prompt="Donut chart with percentage of income spent is in cell below" sqref="B2" xr:uid="{ED5B5D0E-36A6-41BF-8825-492F48B8705B}"/>
    <dataValidation allowBlank="1" showInputMessage="1" showErrorMessage="1" prompt="Donut chart with percentage of income spent is in this cell" sqref="B3:B10" xr:uid="{674C54DC-27DD-49F8-AC9B-FAD47BF6A1D6}"/>
    <dataValidation allowBlank="1" showInputMessage="1" showErrorMessage="1" prompt="Title of this worksheet is in this cell. Summary of Total Monthly Income, Total Monthly Expenses, Total Monthly Savings, and Cash Balance is in cells C3 through C10" sqref="B1" xr:uid="{2B331580-B5C6-4BF4-8C6A-EB4645DE939B}"/>
    <dataValidation allowBlank="1" showInputMessage="1" showErrorMessage="1" prompt="Cash Balance is automatically calculated in this cell" sqref="C10:D10" xr:uid="{738DE12D-7753-4C83-B021-5AE366379834}"/>
    <dataValidation allowBlank="1" showInputMessage="1" showErrorMessage="1" prompt="Total Monthly Savings are automatically calculated in this cell" sqref="C8:D8" xr:uid="{33B579CF-3F0F-4B52-9E10-EB508E3504DC}"/>
    <dataValidation allowBlank="1" showInputMessage="1" showErrorMessage="1" prompt="Total Monthly Expenses are automatically calculated in this cell" sqref="C6:D6" xr:uid="{A609A020-6E3D-45A0-AE77-8076774064FE}"/>
    <dataValidation allowBlank="1" showInputMessage="1" showErrorMessage="1" prompt="Total Monthly Income is automatically calculated in this cell " sqref="C4:D4" xr:uid="{203AA907-C72B-47D5-9415-BCB18096E504}"/>
    <dataValidation allowBlank="1" showInputMessage="1" showErrorMessage="1" prompt="Create a Personal budget in this workbook. Donut and column charts are automatically updated in this worksheet based on total monthly income and expenses" sqref="A1" xr:uid="{21EEF5BC-46C5-4635-837B-B512BE7ECC1B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AA3F-84E4-40B3-A31D-6FE3E54AAD0F}">
  <dimension ref="A1:P32"/>
  <sheetViews>
    <sheetView showGridLines="0" workbookViewId="0">
      <selection activeCell="C10" sqref="C10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SUM(MonthlyIncome554[[#All],[AMOUNT]])</f>
        <v>3000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SUM(MonthlyExpenses655[AMOUNT])+SUM(Table6957[AMOUNT])+SUM(Savings3856[AMOUNT])</f>
        <v>200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SUM(Savings3856[AMOUNT])</f>
        <v>100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6">
        <f>C4-C6</f>
        <v>2800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400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0</v>
      </c>
      <c r="P15" s="8"/>
    </row>
    <row r="16" spans="1:16" ht="14.4" x14ac:dyDescent="0.3">
      <c r="A16" s="4"/>
      <c r="B16" s="13" t="s">
        <v>20</v>
      </c>
      <c r="C16" s="10">
        <v>600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100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/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100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Enter savngs deposit Date in this column under this heading. Use heading filters to find specific entries" sqref="M13" xr:uid="{3A2E4921-C9B8-472C-8601-DD06DA15EF7C}"/>
    <dataValidation allowBlank="1" showInputMessage="1" showErrorMessage="1" prompt="Enter Monthly Savings in table below" sqref="M12" xr:uid="{15248326-F62D-4C77-91DF-42C4F5BEF47E}"/>
    <dataValidation allowBlank="1" showInputMessage="1" showErrorMessage="1" prompt="Enter expense Items in this column under this heading. Use heading filters to find specific entries" sqref="H13 B23" xr:uid="{EE7312AF-81FC-48F2-979B-2B1078345B97}"/>
    <dataValidation allowBlank="1" showInputMessage="1" showErrorMessage="1" prompt="Enter Due Date in this column under this heading" sqref="I13 C23" xr:uid="{74A13620-9377-42D5-8EEE-DA9974B0BEC4}"/>
    <dataValidation allowBlank="1" showInputMessage="1" showErrorMessage="1" prompt="Enter Monthly Expenses in table below" sqref="H12 B22" xr:uid="{0FDC04E3-DB4B-49E5-B2B9-00F873837068}"/>
    <dataValidation allowBlank="1" showInputMessage="1" showErrorMessage="1" prompt="Enter income Items in this column under this heading. Use heading filters to find specific entries" sqref="B13" xr:uid="{133C7359-C8F0-4FE8-B467-BEB6698D50D7}"/>
    <dataValidation allowBlank="1" showInputMessage="1" showErrorMessage="1" prompt="Enter Amount in this column under this heading" sqref="C13 J13 N13 D23" xr:uid="{5E870FB0-977B-41FF-B365-44F7263FCF75}"/>
    <dataValidation allowBlank="1" showInputMessage="1" showErrorMessage="1" prompt="Enter Monthly Income details in table below" sqref="B12" xr:uid="{56AB5532-6D2E-461F-A6B2-5FBDE517BC81}"/>
    <dataValidation allowBlank="1" showInputMessage="1" showErrorMessage="1" prompt="Cash Balance is automatically calculated in cell below" sqref="C9:D9" xr:uid="{59D05600-55B7-4D87-B786-5316EBCAA981}"/>
    <dataValidation allowBlank="1" showInputMessage="1" showErrorMessage="1" prompt="Total Monthly Savings are automatically calculated in cell below" sqref="C7:D7" xr:uid="{CF485ECA-A0EE-4481-BAB7-5B6F4D3F2B80}"/>
    <dataValidation allowBlank="1" showInputMessage="1" showErrorMessage="1" prompt="Total Monthly Expenses are automatically calculated in cell below" sqref="C5:D5" xr:uid="{850AF092-5432-4632-A52D-AFBEB29236C4}"/>
    <dataValidation allowBlank="1" showInputMessage="1" showErrorMessage="1" prompt="Total Monthly Income is automatically calculated in cell below" sqref="C3:D3" xr:uid="{47AC5F67-6007-45B4-8A50-357CDB8D2E5F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51D07BE9-788B-4F94-B1AF-B96ECDA94666}"/>
    <dataValidation allowBlank="1" showInputMessage="1" showErrorMessage="1" prompt="Donut chart with percentage of income spent is in cell below" sqref="B2" xr:uid="{2F6B60E7-2A51-48B1-853E-C00323C26B3B}"/>
    <dataValidation allowBlank="1" showInputMessage="1" showErrorMessage="1" prompt="Donut chart with percentage of income spent is in this cell" sqref="B3:B10" xr:uid="{AEDBE35E-9BF4-44C0-8E1A-70B2884EA5D5}"/>
    <dataValidation allowBlank="1" showInputMessage="1" showErrorMessage="1" prompt="Title of this worksheet is in this cell. Summary of Total Monthly Income, Total Monthly Expenses, Total Monthly Savings, and Cash Balance is in cells C3 through C10" sqref="B1" xr:uid="{20D524E8-FBD6-4D1D-BFDA-A675D9CCBA4A}"/>
    <dataValidation allowBlank="1" showInputMessage="1" showErrorMessage="1" prompt="Cash Balance is automatically calculated in this cell" sqref="C10:D10" xr:uid="{66F87FDF-7553-48D8-B366-11373AF9573D}"/>
    <dataValidation allowBlank="1" showInputMessage="1" showErrorMessage="1" prompt="Total Monthly Savings are automatically calculated in this cell" sqref="C8:D8" xr:uid="{D3512D52-D540-479E-9658-145135E55074}"/>
    <dataValidation allowBlank="1" showInputMessage="1" showErrorMessage="1" prompt="Total Monthly Expenses are automatically calculated in this cell" sqref="C6:D6" xr:uid="{37A7BDE4-D891-49B7-ABD3-55B8D59B1AC8}"/>
    <dataValidation allowBlank="1" showInputMessage="1" showErrorMessage="1" prompt="Total Monthly Income is automatically calculated in this cell " sqref="C4:D4" xr:uid="{1195D240-8B27-447D-A314-1F6F6CC32437}"/>
    <dataValidation allowBlank="1" showInputMessage="1" showErrorMessage="1" prompt="Create a Personal budget in this workbook. Donut and column charts are automatically updated in this worksheet based on total monthly income and expenses" sqref="A1" xr:uid="{B5FE805B-E5FC-4155-B954-3AA1E69E7B87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9656-0095-4D8E-ABB3-B03E5B4FB218}">
  <dimension ref="A1:P32"/>
  <sheetViews>
    <sheetView showGridLines="0" workbookViewId="0">
      <selection activeCell="E7" sqref="E7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SUM(MonthlyIncome558[[#All],[AMOUNT]])</f>
        <v>4000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SUM(MonthlyExpenses659[AMOUNT])+SUM(Table6961[AMOUNT])+SUM(Savings3860[AMOUNT])</f>
        <v>800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SUM(Savings3860[AMOUNT])</f>
        <v>200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6">
        <f>C4-C6</f>
        <v>3200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200</v>
      </c>
      <c r="P15" s="8"/>
    </row>
    <row r="16" spans="1:16" ht="14.4" x14ac:dyDescent="0.3">
      <c r="A16" s="4"/>
      <c r="B16" s="13" t="s">
        <v>20</v>
      </c>
      <c r="C16" s="10">
        <v>2000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500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>
        <v>0</v>
      </c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>
        <v>0</v>
      </c>
      <c r="P26" s="8"/>
    </row>
    <row r="27" spans="1:16" ht="27.75" customHeight="1" x14ac:dyDescent="0.3">
      <c r="B27" s="8" t="s">
        <v>43</v>
      </c>
      <c r="C27" s="1">
        <v>100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Enter savngs deposit Date in this column under this heading. Use heading filters to find specific entries" sqref="M13" xr:uid="{32559310-25FB-43A6-9922-17640EDFE83E}"/>
    <dataValidation allowBlank="1" showInputMessage="1" showErrorMessage="1" prompt="Enter Monthly Savings in table below" sqref="M12" xr:uid="{5FAD9663-5EBF-41F9-A48D-0A7C007D329B}"/>
    <dataValidation allowBlank="1" showInputMessage="1" showErrorMessage="1" prompt="Enter expense Items in this column under this heading. Use heading filters to find specific entries" sqref="H13 B23" xr:uid="{A2E23EDE-BDA5-423F-B56B-42E71A2E5457}"/>
    <dataValidation allowBlank="1" showInputMessage="1" showErrorMessage="1" prompt="Enter Due Date in this column under this heading" sqref="I13 C23" xr:uid="{C8CBEE56-07FA-49EC-893E-9B2D36351D2E}"/>
    <dataValidation allowBlank="1" showInputMessage="1" showErrorMessage="1" prompt="Enter Monthly Expenses in table below" sqref="H12 B22" xr:uid="{C890DB7A-CBE5-4F32-B1B8-CE19C9DB70EE}"/>
    <dataValidation allowBlank="1" showInputMessage="1" showErrorMessage="1" prompt="Enter income Items in this column under this heading. Use heading filters to find specific entries" sqref="B13" xr:uid="{B671A55A-D867-4175-9BCC-8FBD88DE9C66}"/>
    <dataValidation allowBlank="1" showInputMessage="1" showErrorMessage="1" prompt="Enter Amount in this column under this heading" sqref="C13 J13 N13 D23" xr:uid="{34F8AD04-381C-49E1-B614-19A36A3AD5CE}"/>
    <dataValidation allowBlank="1" showInputMessage="1" showErrorMessage="1" prompt="Enter Monthly Income details in table below" sqref="B12" xr:uid="{D7A01542-8155-4228-9769-EDC3854A6790}"/>
    <dataValidation allowBlank="1" showInputMessage="1" showErrorMessage="1" prompt="Cash Balance is automatically calculated in cell below" sqref="C9:D9" xr:uid="{645B12D4-9A15-4A8E-9C34-48E2B463C07B}"/>
    <dataValidation allowBlank="1" showInputMessage="1" showErrorMessage="1" prompt="Total Monthly Savings are automatically calculated in cell below" sqref="C7:D7" xr:uid="{0ED5730D-1EB0-4CBE-B08D-9BF8FFCE42F2}"/>
    <dataValidation allowBlank="1" showInputMessage="1" showErrorMessage="1" prompt="Total Monthly Expenses are automatically calculated in cell below" sqref="C5:D5" xr:uid="{D13EC942-9F77-426E-A020-28D2A9AE5B6F}"/>
    <dataValidation allowBlank="1" showInputMessage="1" showErrorMessage="1" prompt="Total Monthly Income is automatically calculated in cell below" sqref="C3:D3" xr:uid="{DB5B0C8E-8DED-4E80-B1BF-499663FEF6CC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0F2F370F-802C-40E0-BADF-EFD859EB8097}"/>
    <dataValidation allowBlank="1" showInputMessage="1" showErrorMessage="1" prompt="Donut chart with percentage of income spent is in cell below" sqref="B2" xr:uid="{54439B1B-7A29-4A78-956F-3E376D1E8033}"/>
    <dataValidation allowBlank="1" showInputMessage="1" showErrorMessage="1" prompt="Donut chart with percentage of income spent is in this cell" sqref="B3:B10" xr:uid="{938563CA-099D-4D15-ABD0-305E10CBE1E5}"/>
    <dataValidation allowBlank="1" showInputMessage="1" showErrorMessage="1" prompt="Title of this worksheet is in this cell. Summary of Total Monthly Income, Total Monthly Expenses, Total Monthly Savings, and Cash Balance is in cells C3 through C10" sqref="B1" xr:uid="{F88AAA25-095D-4D94-BC42-BB2FA92080EA}"/>
    <dataValidation allowBlank="1" showInputMessage="1" showErrorMessage="1" prompt="Cash Balance is automatically calculated in this cell" sqref="C10:D10" xr:uid="{44B4843E-B6FA-4771-B8B5-8F461BEC02AE}"/>
    <dataValidation allowBlank="1" showInputMessage="1" showErrorMessage="1" prompt="Total Monthly Savings are automatically calculated in this cell" sqref="C8:D8" xr:uid="{4B4F150F-ADD6-47BA-A893-F3BB89635B7E}"/>
    <dataValidation allowBlank="1" showInputMessage="1" showErrorMessage="1" prompt="Total Monthly Expenses are automatically calculated in this cell" sqref="C6:D6" xr:uid="{DC67A658-5E6B-4E45-88B8-70B0DC20ACB8}"/>
    <dataValidation allowBlank="1" showInputMessage="1" showErrorMessage="1" prompt="Total Monthly Income is automatically calculated in this cell " sqref="C4:D4" xr:uid="{F6C51955-19E2-4816-967A-39D38C1F62F7}"/>
    <dataValidation allowBlank="1" showInputMessage="1" showErrorMessage="1" prompt="Create a Personal budget in this workbook. Donut and column charts are automatically updated in this worksheet based on total monthly income and expenses" sqref="A1" xr:uid="{663CE382-F447-4A41-A3FD-342E1E8C7FC6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35E9-080E-4AFD-A84E-D44E92AA127C}">
  <dimension ref="A1:P32"/>
  <sheetViews>
    <sheetView showGridLines="0" workbookViewId="0">
      <selection activeCell="E10" sqref="E10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SUM(MonthlyIncome55862[[#All],[AMOUNT]])</f>
        <v>400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SUM(MonthlyExpenses65963[AMOUNT])+SUM(Table696165[AMOUNT])+SUM(Savings386064[AMOUNT])</f>
        <v>200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SUM(Savings386064[AMOUNT])</f>
        <v>100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7">
        <f>C4-C6</f>
        <v>200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0</v>
      </c>
      <c r="P15" s="8"/>
    </row>
    <row r="16" spans="1:16" ht="14.4" x14ac:dyDescent="0.3">
      <c r="A16" s="4"/>
      <c r="B16" s="13" t="s">
        <v>20</v>
      </c>
      <c r="C16" s="10">
        <v>400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100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>
        <v>0</v>
      </c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100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Create a Personal budget in this workbook. Donut and column charts are automatically updated in this worksheet based on total monthly income and expenses" sqref="A1" xr:uid="{7E0E5233-1DA3-4914-8FCB-69E29D34594A}"/>
    <dataValidation allowBlank="1" showInputMessage="1" showErrorMessage="1" prompt="Total Monthly Income is automatically calculated in this cell " sqref="C4:D4" xr:uid="{98CFDADF-F32C-44D9-99DB-67BAED6916A9}"/>
    <dataValidation allowBlank="1" showInputMessage="1" showErrorMessage="1" prompt="Total Monthly Expenses are automatically calculated in this cell" sqref="C6:D6" xr:uid="{C7D5D95F-C987-48D8-A0C6-0CDCC8106119}"/>
    <dataValidation allowBlank="1" showInputMessage="1" showErrorMessage="1" prompt="Total Monthly Savings are automatically calculated in this cell" sqref="C8:D8" xr:uid="{7E11BE26-42DB-4088-A9EB-089102F74EA6}"/>
    <dataValidation allowBlank="1" showInputMessage="1" showErrorMessage="1" prompt="Cash Balance is automatically calculated in this cell" sqref="C10:D10" xr:uid="{7D8E0582-43DF-4974-9FE1-B4372747F304}"/>
    <dataValidation allowBlank="1" showInputMessage="1" showErrorMessage="1" prompt="Title of this worksheet is in this cell. Summary of Total Monthly Income, Total Monthly Expenses, Total Monthly Savings, and Cash Balance is in cells C3 through C10" sqref="B1" xr:uid="{27990CF8-BD6B-40FB-8D2A-7BFFFDC9AD72}"/>
    <dataValidation allowBlank="1" showInputMessage="1" showErrorMessage="1" prompt="Donut chart with percentage of income spent is in this cell" sqref="B3:B10" xr:uid="{71BF4702-4C82-49C3-A6E6-2071DDD10A5D}"/>
    <dataValidation allowBlank="1" showInputMessage="1" showErrorMessage="1" prompt="Donut chart with percentage of income spent is in cell below" sqref="B2" xr:uid="{9E0A7A78-6A68-45E6-BD0E-A49B7A8D1A52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7A205B8E-9097-4FD7-91D9-2D23DFE4FB16}"/>
    <dataValidation allowBlank="1" showInputMessage="1" showErrorMessage="1" prompt="Total Monthly Income is automatically calculated in cell below" sqref="C3:D3" xr:uid="{F41CC628-0E43-4920-9C0D-4D5F6450F39E}"/>
    <dataValidation allowBlank="1" showInputMessage="1" showErrorMessage="1" prompt="Total Monthly Expenses are automatically calculated in cell below" sqref="C5:D5" xr:uid="{0D0CC6EB-DD53-4588-B4F9-264F32F52A57}"/>
    <dataValidation allowBlank="1" showInputMessage="1" showErrorMessage="1" prompt="Total Monthly Savings are automatically calculated in cell below" sqref="C7:D7" xr:uid="{B11054E0-97FA-4488-9B01-C4FCDAC1AAF2}"/>
    <dataValidation allowBlank="1" showInputMessage="1" showErrorMessage="1" prompt="Cash Balance is automatically calculated in cell below" sqref="C9:D9" xr:uid="{9387462E-4207-4BAB-B9B6-519160999EAB}"/>
    <dataValidation allowBlank="1" showInputMessage="1" showErrorMessage="1" prompt="Enter Monthly Income details in table below" sqref="B12" xr:uid="{BD8513D7-1D80-4127-9EEC-966F5A4C7233}"/>
    <dataValidation allowBlank="1" showInputMessage="1" showErrorMessage="1" prompt="Enter Amount in this column under this heading" sqref="C13 J13 N13 D23" xr:uid="{5BE49ECF-F67F-4842-9214-220B6D73CD02}"/>
    <dataValidation allowBlank="1" showInputMessage="1" showErrorMessage="1" prompt="Enter income Items in this column under this heading. Use heading filters to find specific entries" sqref="B13" xr:uid="{4C2381C1-4B77-4658-A0AE-A483ECF1156B}"/>
    <dataValidation allowBlank="1" showInputMessage="1" showErrorMessage="1" prompt="Enter Monthly Expenses in table below" sqref="H12 B22" xr:uid="{81AA52D1-E5BA-4D2C-9BF7-E77AA5914C60}"/>
    <dataValidation allowBlank="1" showInputMessage="1" showErrorMessage="1" prompt="Enter Due Date in this column under this heading" sqref="I13 C23" xr:uid="{C80CF139-6D69-465A-A28D-94DB8D2D5303}"/>
    <dataValidation allowBlank="1" showInputMessage="1" showErrorMessage="1" prompt="Enter expense Items in this column under this heading. Use heading filters to find specific entries" sqref="H13 B23" xr:uid="{A5CAB3E0-6DEF-4BDB-BFEB-809B9C01D5E1}"/>
    <dataValidation allowBlank="1" showInputMessage="1" showErrorMessage="1" prompt="Enter Monthly Savings in table below" sqref="M12" xr:uid="{53AC35D5-AB40-4EA9-8113-A5449AF41116}"/>
    <dataValidation allowBlank="1" showInputMessage="1" showErrorMessage="1" prompt="Enter savngs deposit Date in this column under this heading. Use heading filters to find specific entries" sqref="M13" xr:uid="{F5A1729A-45A2-4D27-8302-20012B068242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AAB8-BE7C-464D-866D-3501CB97B22A}">
  <dimension ref="A1:P32"/>
  <sheetViews>
    <sheetView showGridLines="0" workbookViewId="0">
      <selection activeCell="F7" sqref="F7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SUM(MonthlyIncome55866[[#All],[AMOUNT]])</f>
        <v>3000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SUM(MonthlyExpenses65967[AMOUNT])+SUM(Table696169[AMOUNT])+SUM(Savings386068[AMOUNT])</f>
        <v>700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SUM(Savings386068[AMOUNT])</f>
        <v>100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7">
        <f>C4-C6</f>
        <v>2300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400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0</v>
      </c>
      <c r="P15" s="8"/>
    </row>
    <row r="16" spans="1:16" ht="14.4" x14ac:dyDescent="0.3">
      <c r="A16" s="4"/>
      <c r="B16" s="13" t="s">
        <v>20</v>
      </c>
      <c r="C16" s="10">
        <v>600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100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500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/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100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Create a Personal budget in this workbook. Donut and column charts are automatically updated in this worksheet based on total monthly income and expenses" sqref="A1" xr:uid="{C2564F31-E07F-4B8F-ACD2-55389FB3149D}"/>
    <dataValidation allowBlank="1" showInputMessage="1" showErrorMessage="1" prompt="Total Monthly Income is automatically calculated in this cell " sqref="C4:D4" xr:uid="{82D154BF-3086-474A-B036-E42D2B16B546}"/>
    <dataValidation allowBlank="1" showInputMessage="1" showErrorMessage="1" prompt="Total Monthly Expenses are automatically calculated in this cell" sqref="C6:D6" xr:uid="{177A1FEC-AD5C-4339-A597-4D64D4EBB8E2}"/>
    <dataValidation allowBlank="1" showInputMessage="1" showErrorMessage="1" prompt="Total Monthly Savings are automatically calculated in this cell" sqref="C8:D8" xr:uid="{4A634F06-CE88-4EED-BAAF-DD766A326734}"/>
    <dataValidation allowBlank="1" showInputMessage="1" showErrorMessage="1" prompt="Cash Balance is automatically calculated in this cell" sqref="C10:D10" xr:uid="{3D169DEE-F4F8-409F-B1C3-BD3C68C637F9}"/>
    <dataValidation allowBlank="1" showInputMessage="1" showErrorMessage="1" prompt="Title of this worksheet is in this cell. Summary of Total Monthly Income, Total Monthly Expenses, Total Monthly Savings, and Cash Balance is in cells C3 through C10" sqref="B1" xr:uid="{90BF3546-6FAD-463C-B42D-A6C18AF3A4CF}"/>
    <dataValidation allowBlank="1" showInputMessage="1" showErrorMessage="1" prompt="Donut chart with percentage of income spent is in this cell" sqref="B3:B10" xr:uid="{1A49C5A5-040C-4D1D-ACD3-E0327A6247E4}"/>
    <dataValidation allowBlank="1" showInputMessage="1" showErrorMessage="1" prompt="Donut chart with percentage of income spent is in cell below" sqref="B2" xr:uid="{355F66AD-662A-4CC5-99E5-61A873743334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72179E49-F055-4BBF-9B17-D90ED76D5236}"/>
    <dataValidation allowBlank="1" showInputMessage="1" showErrorMessage="1" prompt="Total Monthly Income is automatically calculated in cell below" sqref="C3:D3" xr:uid="{75D503A7-8842-4EA3-AA54-74C20EC7D0EF}"/>
    <dataValidation allowBlank="1" showInputMessage="1" showErrorMessage="1" prompt="Total Monthly Expenses are automatically calculated in cell below" sqref="C5:D5" xr:uid="{647CEF52-3110-4A3E-859A-0DC92BF61879}"/>
    <dataValidation allowBlank="1" showInputMessage="1" showErrorMessage="1" prompt="Total Monthly Savings are automatically calculated in cell below" sqref="C7:D7" xr:uid="{357F3F83-EABE-4AC5-8F81-E5123F03CDF0}"/>
    <dataValidation allowBlank="1" showInputMessage="1" showErrorMessage="1" prompt="Cash Balance is automatically calculated in cell below" sqref="C9:D9" xr:uid="{845DC517-FF16-49D5-A77F-C94F2E5FA6ED}"/>
    <dataValidation allowBlank="1" showInputMessage="1" showErrorMessage="1" prompt="Enter Monthly Income details in table below" sqref="B12" xr:uid="{252C8FBE-A1E8-417B-952C-6E895E288E8D}"/>
    <dataValidation allowBlank="1" showInputMessage="1" showErrorMessage="1" prompt="Enter Amount in this column under this heading" sqref="C13 J13 N13 D23" xr:uid="{A27517C3-6261-439B-8A7E-1540A03851E2}"/>
    <dataValidation allowBlank="1" showInputMessage="1" showErrorMessage="1" prompt="Enter income Items in this column under this heading. Use heading filters to find specific entries" sqref="B13" xr:uid="{745D3804-04DC-429D-8A3B-0B0D5284B89F}"/>
    <dataValidation allowBlank="1" showInputMessage="1" showErrorMessage="1" prompt="Enter Monthly Expenses in table below" sqref="H12 B22" xr:uid="{D6C514D5-C1FD-4632-A12A-4D441DF6EFAE}"/>
    <dataValidation allowBlank="1" showInputMessage="1" showErrorMessage="1" prompt="Enter Due Date in this column under this heading" sqref="I13 C23" xr:uid="{3A4206A0-0532-480C-AF6C-FCD97B0F1400}"/>
    <dataValidation allowBlank="1" showInputMessage="1" showErrorMessage="1" prompt="Enter expense Items in this column under this heading. Use heading filters to find specific entries" sqref="H13 B23" xr:uid="{5314567F-E3F9-4BD2-B14E-0352A82B0867}"/>
    <dataValidation allowBlank="1" showInputMessage="1" showErrorMessage="1" prompt="Enter Monthly Savings in table below" sqref="M12" xr:uid="{BF6F03E5-EBA1-43C9-9F07-167C01A55986}"/>
    <dataValidation allowBlank="1" showInputMessage="1" showErrorMessage="1" prompt="Enter savngs deposit Date in this column under this heading. Use heading filters to find specific entries" sqref="M13" xr:uid="{32D042C8-13E5-4400-A01F-9B5030DE817B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9D72-1F45-4085-8802-484E908342AB}">
  <dimension ref="A1:P32"/>
  <sheetViews>
    <sheetView showGridLines="0" workbookViewId="0">
      <selection activeCell="D12" sqref="D12"/>
    </sheetView>
  </sheetViews>
  <sheetFormatPr defaultColWidth="10" defaultRowHeight="27.75" customHeight="1" x14ac:dyDescent="0.3"/>
  <cols>
    <col min="1" max="1" width="2.88671875" style="1" customWidth="1"/>
    <col min="2" max="2" width="45.109375" style="8" customWidth="1"/>
    <col min="3" max="3" width="32.88671875" style="1" customWidth="1"/>
    <col min="4" max="4" width="0.77734375" style="1" customWidth="1"/>
    <col min="5" max="7" width="10" style="8"/>
    <col min="8" max="8" width="20.5546875" style="8" bestFit="1" customWidth="1"/>
    <col min="9" max="9" width="12.5546875" style="8" bestFit="1" customWidth="1"/>
    <col min="10" max="10" width="11.33203125" style="8" bestFit="1" customWidth="1"/>
    <col min="11" max="13" width="10" style="8"/>
    <col min="14" max="14" width="10.33203125" style="8" bestFit="1" customWidth="1"/>
    <col min="15" max="15" width="10" style="8"/>
    <col min="16" max="16" width="10" style="15"/>
    <col min="17" max="16384" width="10" style="8"/>
  </cols>
  <sheetData>
    <row r="1" spans="1:16" s="16" customFormat="1" ht="23.4" x14ac:dyDescent="0.3">
      <c r="B1" s="17" t="s">
        <v>0</v>
      </c>
    </row>
    <row r="2" spans="1:16" s="4" customFormat="1" ht="20.399999999999999" thickBot="1" x14ac:dyDescent="0.45">
      <c r="A2" s="1"/>
      <c r="B2" s="2" t="s">
        <v>1</v>
      </c>
      <c r="C2" s="3" t="s">
        <v>2</v>
      </c>
      <c r="D2" s="3"/>
    </row>
    <row r="3" spans="1:16" s="4" customFormat="1" ht="18.600000000000001" thickTop="1" thickBot="1" x14ac:dyDescent="0.4">
      <c r="A3" s="1"/>
      <c r="B3" s="32"/>
      <c r="C3" s="5" t="s">
        <v>3</v>
      </c>
      <c r="D3" s="5"/>
    </row>
    <row r="4" spans="1:16" s="4" customFormat="1" ht="31.8" thickTop="1" x14ac:dyDescent="0.3">
      <c r="A4" s="1"/>
      <c r="B4" s="30"/>
      <c r="C4" s="6">
        <f>SUM(MonthlyIncome55870[[#All],[AMOUNT]])</f>
        <v>2900</v>
      </c>
      <c r="D4" s="6"/>
    </row>
    <row r="5" spans="1:16" s="4" customFormat="1" ht="18" thickBot="1" x14ac:dyDescent="0.4">
      <c r="A5" s="1"/>
      <c r="B5" s="30"/>
      <c r="C5" s="7" t="s">
        <v>4</v>
      </c>
      <c r="D5" s="7"/>
    </row>
    <row r="6" spans="1:16" s="4" customFormat="1" ht="31.8" thickTop="1" x14ac:dyDescent="0.3">
      <c r="A6" s="1"/>
      <c r="B6" s="30"/>
      <c r="C6" s="25">
        <f>SUM(MonthlyExpenses65971[AMOUNT])+SUM(Table696173[AMOUNT])+SUM(Savings386072[AMOUNT])</f>
        <v>800</v>
      </c>
      <c r="D6" s="6"/>
    </row>
    <row r="7" spans="1:16" s="4" customFormat="1" ht="18" thickBot="1" x14ac:dyDescent="0.4">
      <c r="A7" s="1"/>
      <c r="B7" s="30"/>
      <c r="C7" s="7" t="s">
        <v>5</v>
      </c>
      <c r="D7" s="7"/>
    </row>
    <row r="8" spans="1:16" s="4" customFormat="1" ht="31.8" thickTop="1" x14ac:dyDescent="0.3">
      <c r="A8" s="1"/>
      <c r="B8" s="30"/>
      <c r="C8" s="24">
        <f>SUM(Savings386072[AMOUNT])</f>
        <v>200</v>
      </c>
      <c r="D8" s="6"/>
    </row>
    <row r="9" spans="1:16" s="4" customFormat="1" ht="18" thickBot="1" x14ac:dyDescent="0.4">
      <c r="A9" s="1"/>
      <c r="B9" s="30"/>
      <c r="C9" s="7" t="s">
        <v>6</v>
      </c>
      <c r="D9" s="7"/>
    </row>
    <row r="10" spans="1:16" s="4" customFormat="1" ht="31.8" thickTop="1" x14ac:dyDescent="0.3">
      <c r="A10" s="1"/>
      <c r="B10" s="30"/>
      <c r="C10" s="27">
        <f>C4-C6</f>
        <v>2100</v>
      </c>
      <c r="D10" s="6"/>
    </row>
    <row r="11" spans="1:16" ht="14.4" x14ac:dyDescent="0.3">
      <c r="P11" s="8"/>
    </row>
    <row r="12" spans="1:16" ht="20.399999999999999" thickBot="1" x14ac:dyDescent="0.45">
      <c r="A12" s="4"/>
      <c r="B12" s="3" t="s">
        <v>7</v>
      </c>
      <c r="C12" s="8"/>
      <c r="D12" s="8"/>
      <c r="F12" s="4"/>
      <c r="G12" s="4"/>
      <c r="H12" s="3" t="s">
        <v>8</v>
      </c>
      <c r="I12" s="1"/>
      <c r="J12" s="3"/>
      <c r="L12" s="1"/>
      <c r="M12" s="3" t="s">
        <v>9</v>
      </c>
      <c r="N12" s="1"/>
      <c r="O12" s="4"/>
      <c r="P12" s="8"/>
    </row>
    <row r="13" spans="1:16" ht="18.600000000000001" thickTop="1" thickBot="1" x14ac:dyDescent="0.4">
      <c r="A13" s="4"/>
      <c r="B13" s="5" t="s">
        <v>10</v>
      </c>
      <c r="C13" s="5" t="s">
        <v>11</v>
      </c>
      <c r="D13" s="4"/>
      <c r="E13" s="4"/>
      <c r="F13" s="4"/>
      <c r="G13" s="4"/>
      <c r="H13" s="5" t="s">
        <v>10</v>
      </c>
      <c r="I13" s="5" t="s">
        <v>12</v>
      </c>
      <c r="J13" s="5" t="s">
        <v>11</v>
      </c>
      <c r="L13" s="1"/>
      <c r="M13" s="5" t="s">
        <v>13</v>
      </c>
      <c r="N13" s="5" t="s">
        <v>11</v>
      </c>
      <c r="O13" s="4"/>
      <c r="P13" s="8"/>
    </row>
    <row r="14" spans="1:16" ht="15" thickTop="1" x14ac:dyDescent="0.3">
      <c r="A14" s="4"/>
      <c r="B14" s="9" t="s">
        <v>14</v>
      </c>
      <c r="C14" s="10">
        <v>400</v>
      </c>
      <c r="D14" s="8"/>
      <c r="G14" s="4"/>
      <c r="H14" s="4" t="s">
        <v>15</v>
      </c>
      <c r="I14" s="11">
        <v>45658</v>
      </c>
      <c r="J14" s="4">
        <v>0</v>
      </c>
      <c r="L14" s="1"/>
      <c r="M14" s="12" t="s">
        <v>16</v>
      </c>
      <c r="N14" s="10">
        <v>0</v>
      </c>
      <c r="P14" s="8"/>
    </row>
    <row r="15" spans="1:16" ht="14.4" x14ac:dyDescent="0.3">
      <c r="A15" s="4"/>
      <c r="B15" s="13" t="s">
        <v>17</v>
      </c>
      <c r="C15" s="10">
        <v>2000</v>
      </c>
      <c r="D15" s="8"/>
      <c r="G15" s="4"/>
      <c r="H15" s="4" t="s">
        <v>18</v>
      </c>
      <c r="I15" s="4" t="s">
        <v>19</v>
      </c>
      <c r="J15" s="4">
        <v>0</v>
      </c>
      <c r="L15" s="1"/>
      <c r="M15" s="12" t="s">
        <v>16</v>
      </c>
      <c r="N15" s="10">
        <v>200</v>
      </c>
      <c r="P15" s="8"/>
    </row>
    <row r="16" spans="1:16" ht="14.4" x14ac:dyDescent="0.3">
      <c r="A16" s="4"/>
      <c r="B16" s="13" t="s">
        <v>20</v>
      </c>
      <c r="C16" s="10">
        <v>500</v>
      </c>
      <c r="D16" s="8"/>
      <c r="G16" s="4"/>
      <c r="H16" s="4" t="s">
        <v>21</v>
      </c>
      <c r="I16" s="4" t="s">
        <v>19</v>
      </c>
      <c r="J16" s="4">
        <v>0</v>
      </c>
      <c r="L16" s="1"/>
      <c r="M16" s="12" t="s">
        <v>16</v>
      </c>
      <c r="N16" s="10">
        <v>0</v>
      </c>
      <c r="P16" s="8"/>
    </row>
    <row r="17" spans="1:16" ht="14.4" x14ac:dyDescent="0.3">
      <c r="A17" s="8"/>
      <c r="D17" s="8"/>
      <c r="G17" s="4"/>
      <c r="H17" s="4" t="s">
        <v>22</v>
      </c>
      <c r="I17" s="4" t="s">
        <v>19</v>
      </c>
      <c r="J17" s="4">
        <v>0</v>
      </c>
      <c r="N17" s="1"/>
      <c r="P17" s="8"/>
    </row>
    <row r="18" spans="1:16" ht="14.4" x14ac:dyDescent="0.3">
      <c r="A18" s="8"/>
      <c r="D18" s="8"/>
      <c r="G18" s="4"/>
      <c r="H18" s="4" t="s">
        <v>23</v>
      </c>
      <c r="I18" s="4" t="s">
        <v>19</v>
      </c>
      <c r="J18" s="4">
        <v>0</v>
      </c>
      <c r="P18" s="8"/>
    </row>
    <row r="19" spans="1:16" ht="14.4" x14ac:dyDescent="0.3">
      <c r="A19" s="8"/>
      <c r="D19" s="8"/>
      <c r="G19" s="4"/>
      <c r="H19" s="4" t="s">
        <v>24</v>
      </c>
      <c r="I19" s="4" t="s">
        <v>19</v>
      </c>
      <c r="J19" s="4">
        <v>0</v>
      </c>
      <c r="P19" s="8"/>
    </row>
    <row r="20" spans="1:16" ht="14.4" x14ac:dyDescent="0.3">
      <c r="G20" s="4"/>
      <c r="H20" s="4" t="s">
        <v>25</v>
      </c>
      <c r="I20" s="4" t="s">
        <v>19</v>
      </c>
      <c r="J20" s="4">
        <v>500</v>
      </c>
      <c r="P20" s="8"/>
    </row>
    <row r="21" spans="1:16" ht="14.4" x14ac:dyDescent="0.3">
      <c r="G21" s="4"/>
      <c r="H21" s="4" t="s">
        <v>26</v>
      </c>
      <c r="I21" s="4" t="s">
        <v>19</v>
      </c>
      <c r="J21" s="4">
        <v>0</v>
      </c>
      <c r="P21" s="8"/>
    </row>
    <row r="22" spans="1:16" ht="20.399999999999999" thickBot="1" x14ac:dyDescent="0.45">
      <c r="B22" s="3" t="s">
        <v>30</v>
      </c>
      <c r="D22" s="3"/>
      <c r="G22" s="4"/>
      <c r="H22" s="14" t="s">
        <v>27</v>
      </c>
      <c r="I22" s="4" t="s">
        <v>19</v>
      </c>
      <c r="J22" s="4">
        <v>0</v>
      </c>
      <c r="P22" s="8"/>
    </row>
    <row r="23" spans="1:16" ht="18.600000000000001" thickTop="1" thickBot="1" x14ac:dyDescent="0.4">
      <c r="B23" s="19" t="s">
        <v>10</v>
      </c>
      <c r="C23" s="19" t="s">
        <v>11</v>
      </c>
      <c r="D23" s="18"/>
      <c r="G23" s="4"/>
      <c r="H23" s="14" t="s">
        <v>28</v>
      </c>
      <c r="I23" s="4" t="s">
        <v>19</v>
      </c>
      <c r="J23" s="4">
        <v>0</v>
      </c>
      <c r="P23" s="8"/>
    </row>
    <row r="24" spans="1:16" ht="15" thickTop="1" x14ac:dyDescent="0.3">
      <c r="B24" s="8" t="s">
        <v>51</v>
      </c>
      <c r="G24" s="4"/>
      <c r="H24" s="14" t="s">
        <v>29</v>
      </c>
      <c r="I24" s="4" t="s">
        <v>19</v>
      </c>
      <c r="J24" s="4">
        <v>0</v>
      </c>
      <c r="P24" s="8"/>
    </row>
    <row r="25" spans="1:16" ht="14.4" x14ac:dyDescent="0.3">
      <c r="B25" s="8" t="s">
        <v>44</v>
      </c>
      <c r="G25" s="4"/>
      <c r="H25" s="13"/>
      <c r="I25" s="12"/>
      <c r="J25" s="10"/>
      <c r="P25" s="8"/>
    </row>
    <row r="26" spans="1:16" ht="14.4" x14ac:dyDescent="0.3">
      <c r="B26" s="8" t="s">
        <v>45</v>
      </c>
      <c r="C26" s="1">
        <v>0</v>
      </c>
      <c r="G26" s="4"/>
      <c r="H26" s="13"/>
      <c r="I26" s="12"/>
      <c r="J26" s="10"/>
      <c r="P26" s="8"/>
    </row>
    <row r="27" spans="1:16" ht="27.75" customHeight="1" x14ac:dyDescent="0.3">
      <c r="B27" s="8" t="s">
        <v>43</v>
      </c>
      <c r="C27" s="1">
        <v>100</v>
      </c>
    </row>
    <row r="28" spans="1:16" ht="27.75" customHeight="1" x14ac:dyDescent="0.3">
      <c r="B28" s="8" t="s">
        <v>47</v>
      </c>
    </row>
    <row r="29" spans="1:16" ht="27.75" customHeight="1" x14ac:dyDescent="0.3">
      <c r="B29" s="8" t="s">
        <v>48</v>
      </c>
    </row>
    <row r="30" spans="1:16" ht="27.75" customHeight="1" x14ac:dyDescent="0.3">
      <c r="B30" s="8" t="s">
        <v>49</v>
      </c>
    </row>
    <row r="31" spans="1:16" ht="27.75" customHeight="1" x14ac:dyDescent="0.3">
      <c r="B31" s="8" t="s">
        <v>50</v>
      </c>
    </row>
    <row r="32" spans="1:16" ht="27.75" customHeight="1" x14ac:dyDescent="0.3">
      <c r="B32" s="8" t="s">
        <v>46</v>
      </c>
    </row>
  </sheetData>
  <mergeCells count="1">
    <mergeCell ref="B3:B10"/>
  </mergeCells>
  <dataValidations count="21">
    <dataValidation allowBlank="1" showInputMessage="1" showErrorMessage="1" prompt="Create a Personal budget in this workbook. Donut and column charts are automatically updated in this worksheet based on total monthly income and expenses" sqref="A1" xr:uid="{9A3ABA53-CD2E-429E-A176-A53722EC808F}"/>
    <dataValidation allowBlank="1" showInputMessage="1" showErrorMessage="1" prompt="Total Monthly Income is automatically calculated in this cell " sqref="C4:D4" xr:uid="{B3B70356-0C62-4820-A004-1B87922A12AD}"/>
    <dataValidation allowBlank="1" showInputMessage="1" showErrorMessage="1" prompt="Total Monthly Expenses are automatically calculated in this cell" sqref="C6:D6" xr:uid="{E662B3F4-A66F-4EEE-B32A-F0B6D2054BA0}"/>
    <dataValidation allowBlank="1" showInputMessage="1" showErrorMessage="1" prompt="Total Monthly Savings are automatically calculated in this cell" sqref="C8:D8" xr:uid="{77C23405-2A75-45E2-92D8-B421ED4A2FA9}"/>
    <dataValidation allowBlank="1" showInputMessage="1" showErrorMessage="1" prompt="Cash Balance is automatically calculated in this cell" sqref="C10:D10" xr:uid="{D0CF43C5-A84D-47B4-86CF-AFE4FD1B677E}"/>
    <dataValidation allowBlank="1" showInputMessage="1" showErrorMessage="1" prompt="Title of this worksheet is in this cell. Summary of Total Monthly Income, Total Monthly Expenses, Total Monthly Savings, and Cash Balance is in cells C3 through C10" sqref="B1" xr:uid="{410ED2D7-49F4-4C10-B582-31C4EA58F017}"/>
    <dataValidation allowBlank="1" showInputMessage="1" showErrorMessage="1" prompt="Donut chart with percentage of income spent is in this cell" sqref="B3:B10" xr:uid="{C3ACC62C-5F32-47F8-87F9-1FAC6265977D}"/>
    <dataValidation allowBlank="1" showInputMessage="1" showErrorMessage="1" prompt="Donut chart with percentage of income spent is in cell below" sqref="B2" xr:uid="{22DD7DD0-AE77-4FAE-B358-94511F0B5E75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524BE786-04B3-4403-991A-83A829667704}"/>
    <dataValidation allowBlank="1" showInputMessage="1" showErrorMessage="1" prompt="Total Monthly Income is automatically calculated in cell below" sqref="C3:D3" xr:uid="{60771C32-032C-4629-94EF-E14FA765D321}"/>
    <dataValidation allowBlank="1" showInputMessage="1" showErrorMessage="1" prompt="Total Monthly Expenses are automatically calculated in cell below" sqref="C5:D5" xr:uid="{0CA59891-21C9-46AE-970C-91768F2EBF92}"/>
    <dataValidation allowBlank="1" showInputMessage="1" showErrorMessage="1" prompt="Total Monthly Savings are automatically calculated in cell below" sqref="C7:D7" xr:uid="{B47BE20B-B5DE-42D0-BB2C-E37A39C79CD2}"/>
    <dataValidation allowBlank="1" showInputMessage="1" showErrorMessage="1" prompt="Cash Balance is automatically calculated in cell below" sqref="C9:D9" xr:uid="{148489FB-18B7-465D-B9CE-A9CD9B05B3FB}"/>
    <dataValidation allowBlank="1" showInputMessage="1" showErrorMessage="1" prompt="Enter Monthly Income details in table below" sqref="B12" xr:uid="{2B3F87CB-F6DF-4FBA-A103-24A2FEF8E239}"/>
    <dataValidation allowBlank="1" showInputMessage="1" showErrorMessage="1" prompt="Enter Amount in this column under this heading" sqref="C13 J13 N13 D23" xr:uid="{DF62E58C-7542-496B-A035-11252F8C8D51}"/>
    <dataValidation allowBlank="1" showInputMessage="1" showErrorMessage="1" prompt="Enter income Items in this column under this heading. Use heading filters to find specific entries" sqref="B13" xr:uid="{319E8509-0A6C-4535-86CE-A6B4147821D6}"/>
    <dataValidation allowBlank="1" showInputMessage="1" showErrorMessage="1" prompt="Enter Monthly Expenses in table below" sqref="H12 B22" xr:uid="{EE808C7F-FDA1-4C43-AC31-534DD1096F6F}"/>
    <dataValidation allowBlank="1" showInputMessage="1" showErrorMessage="1" prompt="Enter Due Date in this column under this heading" sqref="I13 C23" xr:uid="{A09215A0-BEB7-4792-BEBB-9D37E5BDCA46}"/>
    <dataValidation allowBlank="1" showInputMessage="1" showErrorMessage="1" prompt="Enter expense Items in this column under this heading. Use heading filters to find specific entries" sqref="H13 B23" xr:uid="{A68914D3-9A66-49AB-A410-630CA2B7F760}"/>
    <dataValidation allowBlank="1" showInputMessage="1" showErrorMessage="1" prompt="Enter Monthly Savings in table below" sqref="M12" xr:uid="{2460EBDD-4CE3-46F0-969F-C7A0A1988B56}"/>
    <dataValidation allowBlank="1" showInputMessage="1" showErrorMessage="1" prompt="Enter savngs deposit Date in this column under this heading. Use heading filters to find specific entries" sqref="M13" xr:uid="{ACAFB1BC-8935-409A-AA0B-A10E6F899653}"/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8CF0-94BA-4FFA-A9B5-AF1ED6AD454B}">
  <dimension ref="B1:Y8"/>
  <sheetViews>
    <sheetView topLeftCell="C1" workbookViewId="0">
      <selection activeCell="X3" sqref="X3"/>
    </sheetView>
  </sheetViews>
  <sheetFormatPr defaultRowHeight="14.4" x14ac:dyDescent="0.3"/>
  <sheetData>
    <row r="1" spans="2:25" s="21" customFormat="1" ht="18" x14ac:dyDescent="0.35">
      <c r="B1" s="21" t="s">
        <v>31</v>
      </c>
      <c r="D1" s="21" t="s">
        <v>32</v>
      </c>
      <c r="F1" s="21" t="s">
        <v>33</v>
      </c>
      <c r="H1" s="21" t="s">
        <v>34</v>
      </c>
      <c r="J1" s="21" t="s">
        <v>35</v>
      </c>
      <c r="L1" s="21" t="s">
        <v>36</v>
      </c>
      <c r="N1" s="21" t="s">
        <v>37</v>
      </c>
      <c r="P1" s="21" t="s">
        <v>38</v>
      </c>
      <c r="R1" s="21" t="s">
        <v>39</v>
      </c>
      <c r="T1" s="21" t="s">
        <v>40</v>
      </c>
      <c r="V1" s="21" t="s">
        <v>41</v>
      </c>
      <c r="X1" s="21" t="s">
        <v>42</v>
      </c>
    </row>
    <row r="2" spans="2:25" x14ac:dyDescent="0.3">
      <c r="B2" s="20">
        <f>MIN(1,1-B3)</f>
        <v>0.8</v>
      </c>
      <c r="C2" s="4"/>
      <c r="D2" s="23">
        <f>MIN(1,1-D3)</f>
        <v>0.8</v>
      </c>
      <c r="F2" s="23">
        <f>MIN(1,1-F3)</f>
        <v>0.77272727272727271</v>
      </c>
      <c r="H2" s="23">
        <f>MIN(1,1-H3)</f>
        <v>0.90476190476190477</v>
      </c>
      <c r="J2" s="23">
        <f>MIN(1,1-J3)</f>
        <v>0.8</v>
      </c>
      <c r="L2" s="23">
        <f>MIN(1,1-L3)</f>
        <v>0.73333333333333339</v>
      </c>
      <c r="N2" s="23">
        <f>MIN(1,1-N3)</f>
        <v>0.90625</v>
      </c>
      <c r="P2" s="23">
        <f>MIN(1,1-P3)</f>
        <v>0.93333333333333335</v>
      </c>
      <c r="R2" s="23">
        <f>MIN(1,1-R3)</f>
        <v>0.8</v>
      </c>
      <c r="T2" s="23">
        <f>MIN(1,1-T3)</f>
        <v>0.5</v>
      </c>
      <c r="V2" s="23">
        <f>MIN(1,1-V3)</f>
        <v>0.76666666666666661</v>
      </c>
      <c r="X2" s="23">
        <f>MIN(1,1-X3)</f>
        <v>0.72413793103448276</v>
      </c>
    </row>
    <row r="3" spans="2:25" x14ac:dyDescent="0.3">
      <c r="B3" s="22">
        <f>MIN(jan!C6/jan!C4,1)</f>
        <v>0.2</v>
      </c>
      <c r="D3" s="23">
        <f>MIN(feb!C6/feb!C4,1)</f>
        <v>0.2</v>
      </c>
      <c r="E3" s="23"/>
      <c r="F3" s="23">
        <f>MIN(mar!C6/mar!C4,1)</f>
        <v>0.22727272727272727</v>
      </c>
      <c r="G3" s="23"/>
      <c r="H3" s="23">
        <f>MIN(apr!C6/apr!C4,1)</f>
        <v>9.5238095238095233E-2</v>
      </c>
      <c r="I3" s="23"/>
      <c r="J3" s="23">
        <f>MIN(may!C6/may!C4,1)</f>
        <v>0.2</v>
      </c>
      <c r="K3" s="23"/>
      <c r="L3" s="23">
        <f>MIN(jun!C6/jun!C4,1)</f>
        <v>0.26666666666666666</v>
      </c>
      <c r="M3" s="23"/>
      <c r="N3" s="23">
        <f>MIN(jul!C6/jul!C4,1)</f>
        <v>9.375E-2</v>
      </c>
      <c r="O3" s="23"/>
      <c r="P3" s="23">
        <f>MIN(aug!C6/aug!C4,1)</f>
        <v>6.6666666666666666E-2</v>
      </c>
      <c r="Q3" s="23"/>
      <c r="R3" s="23">
        <f>MIN(sep!C6/sep!C4,1)</f>
        <v>0.2</v>
      </c>
      <c r="T3" s="23">
        <f>MIN(oct!C6/oct!C4,1)</f>
        <v>0.5</v>
      </c>
      <c r="U3" s="23"/>
      <c r="V3" s="23">
        <f>MIN(nov!C6/nov!C4,1)</f>
        <v>0.23333333333333334</v>
      </c>
      <c r="W3" s="23"/>
      <c r="X3" s="23">
        <f>MIN(dec!C6/dec!C4,1)</f>
        <v>0.27586206896551724</v>
      </c>
      <c r="Y3" s="23"/>
    </row>
    <row r="4" spans="2:25" x14ac:dyDescent="0.3">
      <c r="B4" t="b">
        <f>(jan!C6/jan!C4)&gt;1</f>
        <v>0</v>
      </c>
      <c r="D4" t="b">
        <f>(feb!C6/feb!C4)&gt;1</f>
        <v>0</v>
      </c>
      <c r="F4" t="b">
        <f>(mar!C6/mar!C4)&gt;1</f>
        <v>0</v>
      </c>
      <c r="H4" t="b">
        <f>(apr!C6/apr!C4)&gt;1</f>
        <v>0</v>
      </c>
      <c r="J4" t="b">
        <f>(may!C6/may!C4)&gt;1</f>
        <v>0</v>
      </c>
      <c r="L4" t="b">
        <f>(jun!C6/jun!C4)&gt;1</f>
        <v>0</v>
      </c>
      <c r="N4" t="b">
        <f>(jul!C6/jul!C4)&gt;1</f>
        <v>0</v>
      </c>
      <c r="P4" t="b">
        <f>(aug!C6/aug!C4)&gt;1</f>
        <v>0</v>
      </c>
      <c r="R4" t="b">
        <f>(sep!C6/sep!C4)&gt;1</f>
        <v>0</v>
      </c>
      <c r="T4" t="b">
        <f>(oct!C6/oct!C4)&gt;1</f>
        <v>0</v>
      </c>
      <c r="V4" t="b">
        <f>(nov!C6/nov!C4)&gt;1</f>
        <v>0</v>
      </c>
      <c r="X4" t="b">
        <f>(dec!C6/dec!C4)&gt;1</f>
        <v>0</v>
      </c>
    </row>
    <row r="6" spans="2:25" s="21" customFormat="1" ht="18" x14ac:dyDescent="0.35"/>
    <row r="8" spans="2:25" s="23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data</vt:lpstr>
      <vt:lpstr>TotalMonthlyExpenses</vt:lpstr>
      <vt:lpstr>TotalMonthlyIncome</vt:lpstr>
      <vt:lpstr>TotalMonthlySavings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 mv</dc:creator>
  <cp:lastModifiedBy>harshan mv</cp:lastModifiedBy>
  <dcterms:created xsi:type="dcterms:W3CDTF">2025-01-20T06:04:57Z</dcterms:created>
  <dcterms:modified xsi:type="dcterms:W3CDTF">2025-01-24T05:26:14Z</dcterms:modified>
</cp:coreProperties>
</file>